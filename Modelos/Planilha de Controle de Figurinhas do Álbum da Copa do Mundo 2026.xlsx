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Faltantes" sheetId="2" r:id="rId6"/>
  </sheets>
  <definedNames/>
  <calcPr/>
</workbook>
</file>

<file path=xl/sharedStrings.xml><?xml version="1.0" encoding="utf-8"?>
<sst xmlns="http://schemas.openxmlformats.org/spreadsheetml/2006/main" count="282" uniqueCount="172">
  <si>
    <t>Fazer contagem</t>
  </si>
  <si>
    <t>Planilha de Controle de Figurinhas do Álbum da Copa do Mundo 2026</t>
  </si>
  <si>
    <t>Tenho</t>
  </si>
  <si>
    <t>Falta</t>
  </si>
  <si>
    <t>Baixe sua cópia
totalmente gratuita</t>
  </si>
  <si>
    <t xml:space="preserve">Página inicial </t>
  </si>
  <si>
    <t>FWC</t>
  </si>
  <si>
    <t>A</t>
  </si>
  <si>
    <t xml:space="preserve">México </t>
  </si>
  <si>
    <t>MEX</t>
  </si>
  <si>
    <t xml:space="preserve">África do Sul </t>
  </si>
  <si>
    <t>RSA</t>
  </si>
  <si>
    <t xml:space="preserve">Coréia do Sul </t>
  </si>
  <si>
    <t>KOR</t>
  </si>
  <si>
    <t xml:space="preserve">Rep. Tcheca </t>
  </si>
  <si>
    <t>CZE</t>
  </si>
  <si>
    <t>B</t>
  </si>
  <si>
    <t xml:space="preserve">Canadá </t>
  </si>
  <si>
    <t>CAN</t>
  </si>
  <si>
    <t xml:space="preserve">Bósnia </t>
  </si>
  <si>
    <t>BIH</t>
  </si>
  <si>
    <t xml:space="preserve">Catar </t>
  </si>
  <si>
    <t>QAT</t>
  </si>
  <si>
    <t xml:space="preserve">Suíça </t>
  </si>
  <si>
    <t>SUI</t>
  </si>
  <si>
    <t>C</t>
  </si>
  <si>
    <t xml:space="preserve">Brasil </t>
  </si>
  <si>
    <t>BRA</t>
  </si>
  <si>
    <t xml:space="preserve">Marrocos </t>
  </si>
  <si>
    <t>MAR</t>
  </si>
  <si>
    <t xml:space="preserve">Haiti </t>
  </si>
  <si>
    <t>HAI</t>
  </si>
  <si>
    <t xml:space="preserve">Escócia </t>
  </si>
  <si>
    <t>SCO</t>
  </si>
  <si>
    <t>D</t>
  </si>
  <si>
    <t xml:space="preserve">Estados Unidos </t>
  </si>
  <si>
    <t>USA</t>
  </si>
  <si>
    <t xml:space="preserve">Paraguai </t>
  </si>
  <si>
    <t>PAR</t>
  </si>
  <si>
    <t xml:space="preserve">Austrália </t>
  </si>
  <si>
    <t>AUS</t>
  </si>
  <si>
    <t xml:space="preserve">Turquia </t>
  </si>
  <si>
    <t>TUR</t>
  </si>
  <si>
    <t>E</t>
  </si>
  <si>
    <t xml:space="preserve">Alemanha </t>
  </si>
  <si>
    <t>GER</t>
  </si>
  <si>
    <t xml:space="preserve">Curaçao </t>
  </si>
  <si>
    <t>CUW</t>
  </si>
  <si>
    <t xml:space="preserve">Costa do Marfim </t>
  </si>
  <si>
    <t>CIV</t>
  </si>
  <si>
    <t xml:space="preserve">Equador </t>
  </si>
  <si>
    <t>ECU</t>
  </si>
  <si>
    <t>F</t>
  </si>
  <si>
    <t xml:space="preserve">Holanda </t>
  </si>
  <si>
    <t>NED</t>
  </si>
  <si>
    <t xml:space="preserve">Japão </t>
  </si>
  <si>
    <t>JPN</t>
  </si>
  <si>
    <t xml:space="preserve">Suécia </t>
  </si>
  <si>
    <t>SWE</t>
  </si>
  <si>
    <t xml:space="preserve">Tunísia </t>
  </si>
  <si>
    <t>TUN</t>
  </si>
  <si>
    <t>Fiz essa planilha para meu filho, e resolvi compartilhá-la gratuitamente.
Escaneie o QR-Code e faça cópia da planilha.</t>
  </si>
  <si>
    <t>G</t>
  </si>
  <si>
    <t xml:space="preserve">Bélgica </t>
  </si>
  <si>
    <t>BEL</t>
  </si>
  <si>
    <t xml:space="preserve">Egito </t>
  </si>
  <si>
    <t>EGY</t>
  </si>
  <si>
    <t xml:space="preserve">Irã </t>
  </si>
  <si>
    <t>IRN</t>
  </si>
  <si>
    <t xml:space="preserve">Nova Zelândia </t>
  </si>
  <si>
    <t>NZL</t>
  </si>
  <si>
    <t>H</t>
  </si>
  <si>
    <t xml:space="preserve">Espanha </t>
  </si>
  <si>
    <t>ESP</t>
  </si>
  <si>
    <t xml:space="preserve">Cabo Verde </t>
  </si>
  <si>
    <t>CPV</t>
  </si>
  <si>
    <t xml:space="preserve">Arábia Saudita </t>
  </si>
  <si>
    <t>KSA</t>
  </si>
  <si>
    <t xml:space="preserve">Uruguai </t>
  </si>
  <si>
    <t>URU</t>
  </si>
  <si>
    <t>I</t>
  </si>
  <si>
    <t xml:space="preserve">França </t>
  </si>
  <si>
    <t>FRA</t>
  </si>
  <si>
    <t xml:space="preserve">Senegal </t>
  </si>
  <si>
    <t>SEN</t>
  </si>
  <si>
    <t xml:space="preserve">Iraque </t>
  </si>
  <si>
    <t>IRQ</t>
  </si>
  <si>
    <t xml:space="preserve">Noruega </t>
  </si>
  <si>
    <t>NOR</t>
  </si>
  <si>
    <t>J</t>
  </si>
  <si>
    <t xml:space="preserve">Argentina </t>
  </si>
  <si>
    <t>ARG</t>
  </si>
  <si>
    <t xml:space="preserve">Argélia </t>
  </si>
  <si>
    <t>ALG</t>
  </si>
  <si>
    <t xml:space="preserve">Áustria </t>
  </si>
  <si>
    <t>AUT</t>
  </si>
  <si>
    <t xml:space="preserve">Jordânia </t>
  </si>
  <si>
    <t>JOR</t>
  </si>
  <si>
    <t>K</t>
  </si>
  <si>
    <t xml:space="preserve">Portugal </t>
  </si>
  <si>
    <t>POR</t>
  </si>
  <si>
    <t xml:space="preserve">Congo </t>
  </si>
  <si>
    <t>COD</t>
  </si>
  <si>
    <t xml:space="preserve">Uzbequistão </t>
  </si>
  <si>
    <t>UZB</t>
  </si>
  <si>
    <t xml:space="preserve">Colômbia </t>
  </si>
  <si>
    <t>COL</t>
  </si>
  <si>
    <t>L</t>
  </si>
  <si>
    <t xml:space="preserve">Inglaterra </t>
  </si>
  <si>
    <t>ENG</t>
  </si>
  <si>
    <t xml:space="preserve">Croácia </t>
  </si>
  <si>
    <t>CRO</t>
  </si>
  <si>
    <t xml:space="preserve">Gana </t>
  </si>
  <si>
    <t>GHA</t>
  </si>
  <si>
    <t xml:space="preserve">Panamá </t>
  </si>
  <si>
    <t>PAN</t>
  </si>
  <si>
    <t xml:space="preserve">FIFA World Cup History </t>
  </si>
  <si>
    <t xml:space="preserve">Figurinhas da Colca-Cola </t>
  </si>
  <si>
    <t>CC</t>
  </si>
  <si>
    <r>
      <rPr>
        <rFont val="Nunito"/>
        <i/>
        <color theme="1"/>
        <sz val="10.0"/>
        <u/>
      </rPr>
      <t>Instruções</t>
    </r>
    <r>
      <rPr>
        <rFont val="Nunito"/>
        <i/>
        <color theme="1"/>
        <sz val="10.0"/>
      </rPr>
      <t xml:space="preserve">:  </t>
    </r>
    <r>
      <rPr>
        <rFont val="Nunito"/>
        <b/>
        <i/>
        <color theme="1"/>
        <sz val="10.0"/>
      </rPr>
      <t>1</t>
    </r>
    <r>
      <rPr>
        <rFont val="Nunito"/>
        <i/>
        <color theme="1"/>
        <sz val="10.0"/>
      </rPr>
      <t xml:space="preserve">. Para imprimir, ajuste a orientação da págima para "Retrato";  </t>
    </r>
    <r>
      <rPr>
        <rFont val="Nunito"/>
        <b/>
        <i/>
        <color theme="1"/>
        <sz val="10.0"/>
      </rPr>
      <t>2</t>
    </r>
    <r>
      <rPr>
        <rFont val="Nunito"/>
        <i/>
        <color theme="1"/>
        <sz val="10.0"/>
      </rPr>
      <t xml:space="preserve">. Para ativar as contagens automáticas, clique em “Fazer contagem” e apague os números das figurinhas que você já possui. O restante será feito automaticamente.
                                                                                                         </t>
    </r>
    <r>
      <rPr>
        <rFont val="Nunito"/>
        <b/>
        <i/>
        <color theme="1"/>
        <sz val="12.0"/>
      </rPr>
      <t>Divirta-se completando seu álbum!</t>
    </r>
  </si>
  <si>
    <t>FIGURINHAS FALTANTES</t>
  </si>
  <si>
    <t>MEX: 1, 2, 3, 4, 5, 6, 7, 8, 9, 10, 11, 12, 13, 14, 15, 16, 17, 18, 19, 20</t>
  </si>
  <si>
    <t>RSA: 1, 2, 3, 4, 5, 6, 7, 8, 9, 10, 11, 12, 13, 14, 15, 16, 17, 18, 19, 20</t>
  </si>
  <si>
    <t>KOR: 1, 2, 3, 4, 5, 6, 7, 8, 9, 10, 11, 12, 13, 14, 15, 16, 17, 18, 19, 20</t>
  </si>
  <si>
    <t>CZE: 1, 2, 3, 4, 5, 6, 7, 8, 9, 10, 11, 12, 13, 14, 15, 16, 17, 18, 19, 20</t>
  </si>
  <si>
    <t>CAN: 1, 2, 3, 4, 5, 6, 7, 8, 9, 10, 11, 12, 13, 14, 15, 16, 17, 18, 19, 20</t>
  </si>
  <si>
    <t>BIH: 1, 2, 3, 4, 5, 6, 7, 8, 9, 10, 11, 12, 13, 14, 15, 16, 17, 18, 19, 20</t>
  </si>
  <si>
    <t>QAT: 1, 2, 3, 4, 5, 6, 7, 8, 9, 10, 11, 12, 13, 14, 15, 16, 17, 18, 19, 20</t>
  </si>
  <si>
    <t>SUI: 1, 2, 3, 4, 5, 6, 7, 8, 9, 10, 11, 12, 13, 14, 15, 16, 17, 18, 19, 20</t>
  </si>
  <si>
    <t>BRA: 1, 2, 3, 4, 5, 6, 7, 8, 9, 10, 11, 12, 13, 14, 15, 16, 17, 18, 19, 20</t>
  </si>
  <si>
    <t>MAR: 1, 2, 3, 4, 5, 6, 7, 8, 9, 10, 11, 12, 13, 14, 15, 16, 17, 18, 19, 20</t>
  </si>
  <si>
    <t>HAI: 1, 2, 3, 4, 5, 6, 7, 8, 9, 10, 11, 12, 13, 14, 15, 16, 17, 18, 19, 20</t>
  </si>
  <si>
    <t>SCO: 1, 2, 3, 4, 5, 6, 7, 8, 9, 10, 11, 12, 13, 14, 15, 16, 17, 18, 19, 20</t>
  </si>
  <si>
    <t>USA: 1, 2, 3, 4, 5, 6, 7, 8, 9, 10, 11, 12, 13, 14, 15, 16, 17, 18, 19, 20</t>
  </si>
  <si>
    <t>PAR: 1, 2, 3, 4, 5, 6, 7, 8, 9, 10, 11, 12, 13, 14, 15, 16, 17, 18, 19, 20</t>
  </si>
  <si>
    <t>AUS: 1, 2, 3, 4, 5, 6, 7, 8, 9, 10, 11, 12, 13, 14, 15, 16, 17, 18, 19, 20</t>
  </si>
  <si>
    <t>TUR: 1, 2, 3, 4, 5, 6, 7, 8, 9, 10, 11, 12, 13, 14, 15, 16, 17, 18, 19, 20</t>
  </si>
  <si>
    <t>GER: 1, 2, 3, 4, 5, 6, 7, 8, 9, 10, 11, 12, 13, 14, 15, 16, 17, 18, 19, 20</t>
  </si>
  <si>
    <t>CUW: 1, 2, 3, 4, 5, 6, 7, 8, 9, 10, 11, 12, 13, 14, 15, 16, 17, 18, 19, 20</t>
  </si>
  <si>
    <t>CIV: 1, 2, 3, 4, 5, 6, 7, 8, 9, 10, 11, 12, 13, 14, 15, 16, 17, 18, 19, 20</t>
  </si>
  <si>
    <t>ECU: 1, 2, 3, 4, 5, 6, 7, 8, 9, 10, 11, 12, 13, 14, 15, 16, 17, 18, 19, 20</t>
  </si>
  <si>
    <t>NED: 1, 2, 3, 4, 5, 6, 7, 8, 9, 10, 11, 12, 13, 14, 15, 16, 17, 18, 19, 20</t>
  </si>
  <si>
    <t>JPN: 1, 2, 3, 4, 5, 6, 7, 8, 9, 10, 11, 12, 13, 14, 15, 16, 17, 18, 19, 20</t>
  </si>
  <si>
    <t>SWE: 1, 2, 3, 4, 5, 6, 7, 8, 9, 10, 11, 12, 13, 14, 15, 16, 17, 18, 19, 20</t>
  </si>
  <si>
    <t>TUN: 1, 2, 3, 4, 5, 6, 7, 8, 9, 10, 11, 12, 13, 14, 15, 16, 17, 18, 19, 20</t>
  </si>
  <si>
    <t xml:space="preserve">: </t>
  </si>
  <si>
    <t>BEL: 1, 2, 3, 4, 5, 6, 7, 8, 9, 10, 11, 12, 13, 14, 15, 16, 17, 18, 19, 20</t>
  </si>
  <si>
    <t>EGY: 1, 2, 3, 4, 5, 6, 7, 8, 9, 10, 11, 12, 13, 14, 15, 16, 17, 18, 19, 20</t>
  </si>
  <si>
    <t>IRN: 1, 2, 3, 4, 5, 6, 7, 8, 9, 10, 11, 12, 13, 14, 15, 16, 17, 18, 19, 20</t>
  </si>
  <si>
    <t>NZL: 1, 2, 3, 4, 5, 6, 7, 8, 9, 10, 11, 12, 13, 14, 15, 16, 17, 18, 19, 20</t>
  </si>
  <si>
    <t>ESP: 1, 2, 3, 4, 5, 6, 7, 8, 9, 10, 11, 12, 13, 14, 15, 16, 17, 18, 19, 20</t>
  </si>
  <si>
    <t>CPV: 1, 2, 3, 4, 5, 6, 7, 8, 9, 10, 11, 12, 13, 14, 15, 16, 17, 18, 19, 20</t>
  </si>
  <si>
    <t>KSA: 1, 2, 3, 4, 5, 6, 7, 8, 9, 10, 11, 12, 13, 14, 15, 16, 17, 18, 19, 20</t>
  </si>
  <si>
    <t>URU: 1, 2, 3, 4, 5, 6, 7, 8, 9, 10, 11, 12, 13, 14, 15, 16, 17, 18, 19, 20</t>
  </si>
  <si>
    <t>FRA: 1, 2, 3, 4, 5, 6, 7, 8, 9, 10, 11, 12, 13, 14, 15, 16, 17, 18, 19, 20</t>
  </si>
  <si>
    <t>SEN: 1, 2, 3, 4, 5, 6, 7, 8, 9, 10, 11, 12, 13, 14, 15, 16, 17, 18, 19, 20</t>
  </si>
  <si>
    <t>IRQ: 1, 2, 3, 4, 5, 6, 7, 8, 9, 10, 11, 12, 13, 14, 15, 16, 17, 18, 19, 20</t>
  </si>
  <si>
    <t>NOR: 1, 2, 3, 4, 5, 6, 7, 8, 9, 10, 11, 12, 13, 14, 15, 16, 17, 18, 19, 20</t>
  </si>
  <si>
    <t>ARG: 1, 2, 3, 4, 5, 6, 7, 8, 9, 10, 11, 12, 13, 14, 15, 16, 17, 18, 19, 20</t>
  </si>
  <si>
    <t>ALG: 1, 2, 3, 4, 5, 6, 7, 8, 9, 10, 11, 12, 13, 14, 15, 16, 17, 18, 19, 20</t>
  </si>
  <si>
    <t>AUT: 1, 2, 3, 4, 5, 6, 7, 8, 9, 10, 11, 12, 13, 14, 15, 16, 17, 18, 19, 20</t>
  </si>
  <si>
    <t>JOR: 1, 2, 3, 4, 5, 6, 7, 8, 9, 10, 11, 12, 13, 14, 15, 16, 17, 18, 19, 20</t>
  </si>
  <si>
    <t>POR: 1, 2, 3, 4, 5, 6, 7, 8, 9, 10, 11, 12, 13, 14, 15, 16, 17, 18, 19, 20</t>
  </si>
  <si>
    <t>COD: 1, 2, 3, 4, 5, 6, 7, 8, 9, 10, 11, 12, 13, 14, 15, 16, 17, 18, 19, 20</t>
  </si>
  <si>
    <t>UZB: 1, 2, 3, 4, 5, 6, 7, 8, 9, 10, 11, 12, 13, 14, 15, 16, 17, 18, 19, 20</t>
  </si>
  <si>
    <t>COL: 1, 2, 3, 4, 5, 6, 7, 8, 9, 10, 11, 12, 13, 14, 15, 16, 17, 18, 19, 20</t>
  </si>
  <si>
    <t>ENG: 1, 2, 3, 4, 5, 6, 7, 8, 9, 10, 11, 12, 13, 14, 15, 16, 17, 18, 19, 20</t>
  </si>
  <si>
    <t>CRO: 1, 2, 3, 4, 5, 6, 7, 8, 9, 10, 11, 12, 13, 14, 15, 16, 17, 18, 19, 20</t>
  </si>
  <si>
    <t>GHA: 1, 2, 3, 4, 5, 6, 7, 8, 9, 10, 11, 12, 13, 14, 15, 16, 17, 18, 19, 20</t>
  </si>
  <si>
    <t>PAN: 1, 2, 3, 4, 5, 6, 7, 8, 9, 10, 11, 12, 13, 14, 15, 16, 17, 18, 19, 20</t>
  </si>
  <si>
    <t>FWC: 9, 10, 11, 12, 13, 14, 15, 16, 17, 18</t>
  </si>
  <si>
    <t>CC: 1, 2, 3, 4, 5, 6, 7, 8, 9, 10, 12, 13,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</si>
</sst>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Nunito"/>
    </font>
    <font>
      <b/>
      <color theme="1"/>
      <name val="Nunito"/>
    </font>
    <font>
      <b/>
      <sz val="17.0"/>
      <color theme="1"/>
      <name val="Nunito"/>
    </font>
    <font>
      <b/>
      <sz val="14.0"/>
      <color theme="1"/>
      <name val="Nunito"/>
    </font>
    <font>
      <b/>
      <sz val="7.0"/>
      <color theme="1"/>
      <name val="Nunito"/>
    </font>
    <font>
      <b/>
      <color theme="7"/>
      <name val="Nunito"/>
    </font>
    <font>
      <b/>
      <color theme="5"/>
      <name val="Nunito"/>
    </font>
    <font>
      <b/>
      <color rgb="FFFFFFFF"/>
      <name val="Nunito"/>
    </font>
    <font>
      <b/>
      <sz val="24.0"/>
      <color theme="1"/>
      <name val="Nunito"/>
    </font>
    <font/>
    <font>
      <b/>
      <sz val="12.0"/>
      <color rgb="FF0000FF"/>
      <name val="Nunito"/>
    </font>
    <font>
      <b/>
      <color rgb="FF4A86E8"/>
      <name val="Nunito"/>
    </font>
    <font>
      <b/>
      <color rgb="FFFF0000"/>
      <name val="Nunito"/>
    </font>
    <font>
      <i/>
      <sz val="10.0"/>
      <color theme="1"/>
      <name val="Nunito"/>
    </font>
    <font>
      <i/>
      <color theme="1"/>
      <name val="Arial"/>
      <scheme val="minor"/>
    </font>
    <font>
      <b/>
      <sz val="18.0"/>
      <color theme="1"/>
      <name val="Comfortaa"/>
    </font>
    <font>
      <color rgb="FF999999"/>
      <name val="Nunito"/>
    </font>
  </fonts>
  <fills count="6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2" numFmtId="10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center" readingOrder="0" vertical="center"/>
    </xf>
    <xf borderId="0" fillId="0" fontId="5" numFmtId="10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7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2" fontId="8" numFmtId="0" xfId="0" applyAlignment="1" applyBorder="1" applyFill="1" applyFont="1">
      <alignment horizontal="center" readingOrder="0" vertical="center"/>
    </xf>
    <xf borderId="1" fillId="3" fontId="8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right" readingOrder="0" vertical="center"/>
    </xf>
    <xf borderId="2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4" fillId="0" fontId="10" numFmtId="0" xfId="0" applyBorder="1" applyFont="1"/>
    <xf borderId="5" fillId="0" fontId="10" numFmtId="0" xfId="0" applyBorder="1" applyFont="1"/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vertical="center"/>
    </xf>
    <xf borderId="2" fillId="0" fontId="10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6" fillId="4" fontId="2" numFmtId="0" xfId="0" applyAlignment="1" applyBorder="1" applyFont="1">
      <alignment horizontal="right" readingOrder="0" vertical="center"/>
    </xf>
    <xf borderId="1" fillId="4" fontId="1" numFmtId="0" xfId="0" applyAlignment="1" applyBorder="1" applyFont="1">
      <alignment horizontal="center" vertical="center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horizontal="center" readingOrder="0" vertical="top"/>
    </xf>
    <xf borderId="0" fillId="0" fontId="1" numFmtId="0" xfId="0" applyAlignment="1" applyFont="1">
      <alignment vertical="center"/>
    </xf>
    <xf borderId="6" fillId="4" fontId="2" numFmtId="0" xfId="0" applyAlignment="1" applyBorder="1" applyFont="1">
      <alignment horizontal="right" readingOrder="0" vertical="center"/>
    </xf>
    <xf borderId="2" fillId="4" fontId="1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5" fontId="2" numFmtId="0" xfId="0" applyAlignment="1" applyBorder="1" applyFill="1" applyFont="1">
      <alignment horizontal="right" readingOrder="0" vertical="center"/>
    </xf>
    <xf borderId="1" fillId="5" fontId="1" numFmtId="0" xfId="0" applyAlignment="1" applyBorder="1" applyFont="1">
      <alignment horizontal="center" readingOrder="0" vertical="center"/>
    </xf>
    <xf borderId="1" fillId="5" fontId="17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left" readingOrder="0" vertical="center"/>
    </xf>
    <xf borderId="1" fillId="4" fontId="17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left" readingOrder="0" vertical="center"/>
    </xf>
    <xf borderId="2" fillId="5" fontId="10" numFmtId="0" xfId="0" applyBorder="1" applyFont="1"/>
    <xf borderId="1" fillId="5" fontId="17" numFmtId="0" xfId="0" applyAlignment="1" applyBorder="1" applyFont="1">
      <alignment horizontal="center" readingOrder="0" vertical="center"/>
    </xf>
    <xf borderId="2" fillId="4" fontId="10" numFmtId="0" xfId="0" applyBorder="1" applyFont="1"/>
    <xf borderId="1" fillId="4" fontId="17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  <tableStyles count="3">
    <tableStyle count="2" pivot="0" name="Home-style">
      <tableStyleElement dxfId="1" type="firstRowStripe"/>
      <tableStyleElement dxfId="2" type="secondRowStripe"/>
    </tableStyle>
    <tableStyle count="2" pivot="0" name="Home-style 2">
      <tableStyleElement dxfId="1" type="firstRowStripe"/>
      <tableStyleElement dxfId="2" type="secondRowStripe"/>
    </tableStyle>
    <tableStyle count="2" pivot="0" name="Faltantes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jpg"/><Relationship Id="rId4" Type="http://schemas.openxmlformats.org/officeDocument/2006/relationships/image" Target="../media/image8.png"/><Relationship Id="rId9" Type="http://schemas.openxmlformats.org/officeDocument/2006/relationships/image" Target="../media/image9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3.png"/><Relationship Id="rId8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190500</xdr:colOff>
      <xdr:row>0</xdr:row>
      <xdr:rowOff>9525</xdr:rowOff>
    </xdr:from>
    <xdr:ext cx="1143000" cy="1133475"/>
    <xdr:sp>
      <xdr:nvSpPr>
        <xdr:cNvPr id="3" name="Shape 3"/>
        <xdr:cNvSpPr/>
      </xdr:nvSpPr>
      <xdr:spPr>
        <a:xfrm>
          <a:off x="2244825" y="1166525"/>
          <a:ext cx="1519500" cy="1691100"/>
        </a:xfrm>
        <a:prstGeom prst="rect">
          <a:avLst/>
        </a:prstGeom>
        <a:noFill/>
        <a:ln cap="flat" cmpd="sng" w="9525">
          <a:solidFill>
            <a:srgbClr val="99999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Foto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0</xdr:row>
      <xdr:rowOff>57150</xdr:rowOff>
    </xdr:from>
    <xdr:ext cx="542925" cy="8382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0</xdr:row>
      <xdr:rowOff>57150</xdr:rowOff>
    </xdr:from>
    <xdr:ext cx="685800" cy="838200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200025</xdr:colOff>
      <xdr:row>55</xdr:row>
      <xdr:rowOff>104775</xdr:rowOff>
    </xdr:from>
    <xdr:ext cx="1666875" cy="666750"/>
    <xdr:pic>
      <xdr:nvPicPr>
        <xdr:cNvPr id="0" name="image2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30</xdr:row>
      <xdr:rowOff>28575</xdr:rowOff>
    </xdr:from>
    <xdr:ext cx="400050" cy="419100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257175</xdr:colOff>
      <xdr:row>0</xdr:row>
      <xdr:rowOff>57150</xdr:rowOff>
    </xdr:from>
    <xdr:ext cx="790575" cy="762000"/>
    <xdr:pic>
      <xdr:nvPicPr>
        <xdr:cNvPr id="0" name="image7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152400</xdr:colOff>
      <xdr:row>57</xdr:row>
      <xdr:rowOff>171450</xdr:rowOff>
    </xdr:from>
    <xdr:ext cx="790575" cy="352425"/>
    <xdr:pic>
      <xdr:nvPicPr>
        <xdr:cNvPr id="0" name="image5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276225</xdr:colOff>
      <xdr:row>30</xdr:row>
      <xdr:rowOff>95250</xdr:rowOff>
    </xdr:from>
    <xdr:ext cx="1066800" cy="276225"/>
    <xdr:pic>
      <xdr:nvPicPr>
        <xdr:cNvPr id="0" name="image3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323850" cy="21907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323850" cy="21907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381000" cy="2000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371475" cy="2476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371475" cy="2476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381000" cy="200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7:AB3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Home-style" showColumnStripes="0" showFirstColumn="1" showLastColumn="1" showRowStripes="1"/>
</table>
</file>

<file path=xl/tables/table2.xml><?xml version="1.0" encoding="utf-8"?>
<table xmlns="http://schemas.openxmlformats.org/spreadsheetml/2006/main" headerRowCount="0" ref="C32:AB55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Home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:F26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Falta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0.63"/>
    <col customWidth="1" min="2" max="2" width="7.13"/>
    <col customWidth="1" min="3" max="3" width="14.88"/>
    <col customWidth="1" min="4" max="5" width="5.0"/>
    <col customWidth="1" min="6" max="6" width="5.88"/>
    <col customWidth="1" min="7" max="7" width="6.75"/>
    <col customWidth="1" min="8" max="16" width="3.25"/>
    <col customWidth="1" min="17" max="17" width="3.5"/>
    <col customWidth="1" min="18" max="18" width="5.25"/>
    <col customWidth="1" min="19" max="28" width="3.5"/>
    <col customWidth="1" min="29" max="29" width="1.0"/>
  </cols>
  <sheetData>
    <row r="1" ht="22.5" customHeight="1">
      <c r="A1" s="1"/>
      <c r="B1" s="1"/>
      <c r="C1" s="2"/>
      <c r="D1" s="3"/>
      <c r="E1" s="4" t="b">
        <v>0</v>
      </c>
      <c r="F1" s="5" t="s">
        <v>0</v>
      </c>
      <c r="G1" s="6"/>
      <c r="H1" s="3"/>
      <c r="I1" s="7" t="s">
        <v>1</v>
      </c>
      <c r="U1" s="3"/>
      <c r="V1" s="3"/>
      <c r="W1" s="3"/>
      <c r="X1" s="3"/>
      <c r="Y1" s="3"/>
      <c r="AA1" s="3"/>
      <c r="AB1" s="3"/>
      <c r="AC1" s="1"/>
    </row>
    <row r="2" ht="12.0" customHeight="1">
      <c r="A2" s="1"/>
      <c r="B2" s="8"/>
      <c r="C2" s="9"/>
      <c r="D2" s="9"/>
      <c r="E2" s="9"/>
      <c r="F2" s="9" t="str">
        <f>IFERROR(__xludf.DUMMYFUNCTION("IF(E1,SPARKLINE(F4:G4, {""charttype"",""bar"";""max"",1034;""color1"",""green"";""color2"",""red""}),)"),"")</f>
        <v/>
      </c>
      <c r="H2" s="10" t="str">
        <f>IF(E1,F4/G4,)</f>
        <v/>
      </c>
      <c r="T2" s="9"/>
      <c r="U2" s="9"/>
      <c r="V2" s="9"/>
      <c r="W2" s="9"/>
      <c r="X2" s="9"/>
      <c r="Y2" s="9"/>
      <c r="Z2" s="9"/>
      <c r="AA2" s="9"/>
      <c r="AB2" s="9"/>
      <c r="AC2" s="1"/>
    </row>
    <row r="3" ht="3.75" customHeight="1">
      <c r="A3" s="1"/>
      <c r="B3" s="8"/>
      <c r="C3" s="9"/>
      <c r="D3" s="9"/>
      <c r="E3" s="9"/>
      <c r="F3" s="9"/>
      <c r="G3" s="9"/>
      <c r="H3" s="9"/>
      <c r="T3" s="9"/>
      <c r="U3" s="9"/>
      <c r="V3" s="9"/>
      <c r="W3" s="9"/>
      <c r="X3" s="9"/>
      <c r="Y3" s="9"/>
      <c r="Z3" s="9"/>
      <c r="AA3" s="9"/>
      <c r="AB3" s="9"/>
      <c r="AC3" s="1"/>
    </row>
    <row r="4" ht="19.5" customHeight="1">
      <c r="A4" s="1"/>
      <c r="B4" s="1"/>
      <c r="C4" s="2"/>
      <c r="D4" s="3"/>
      <c r="E4" s="11"/>
      <c r="F4" s="12" t="str">
        <f>IF(E1,SUM(F6:F57),)</f>
        <v/>
      </c>
      <c r="G4" s="13" t="str">
        <f>IF(E1,SUM(G6:G57),)</f>
        <v/>
      </c>
      <c r="H4" s="3"/>
      <c r="T4" s="3"/>
      <c r="U4" s="3"/>
      <c r="V4" s="14"/>
      <c r="W4" s="3"/>
      <c r="X4" s="3"/>
      <c r="Y4" s="3"/>
      <c r="Z4" s="14"/>
      <c r="AA4" s="3"/>
      <c r="AB4" s="3"/>
      <c r="AC4" s="1"/>
    </row>
    <row r="5" ht="19.5" customHeight="1">
      <c r="A5" s="1"/>
      <c r="B5" s="1"/>
      <c r="C5" s="2"/>
      <c r="D5" s="3"/>
      <c r="E5" s="11"/>
      <c r="F5" s="15" t="s">
        <v>2</v>
      </c>
      <c r="G5" s="16" t="s">
        <v>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4" t="s">
        <v>4</v>
      </c>
      <c r="Y5" s="3"/>
      <c r="Z5" s="3"/>
      <c r="AA5" s="3"/>
      <c r="AB5" s="3"/>
      <c r="AC5" s="1"/>
    </row>
    <row r="6" ht="17.25" customHeight="1">
      <c r="A6" s="1"/>
      <c r="B6" s="1"/>
      <c r="C6" s="17" t="s">
        <v>5</v>
      </c>
      <c r="D6" s="18"/>
      <c r="E6" s="19" t="s">
        <v>6</v>
      </c>
      <c r="F6" s="20" t="str">
        <f>IF(E1,COUNTIF(H6:P6,""),)</f>
        <v/>
      </c>
      <c r="G6" s="21" t="str">
        <f>IF($E$1, COUNT(H6:P6),)</f>
        <v/>
      </c>
      <c r="H6" s="22">
        <v>0.0</v>
      </c>
      <c r="I6" s="22">
        <v>1.0</v>
      </c>
      <c r="J6" s="22">
        <v>2.0</v>
      </c>
      <c r="K6" s="22">
        <v>3.0</v>
      </c>
      <c r="L6" s="22">
        <v>4.0</v>
      </c>
      <c r="M6" s="22">
        <v>5.0</v>
      </c>
      <c r="N6" s="22">
        <v>6.0</v>
      </c>
      <c r="O6" s="22">
        <v>7.0</v>
      </c>
      <c r="P6" s="22">
        <v>8.0</v>
      </c>
      <c r="Q6" s="3"/>
      <c r="R6" s="3"/>
      <c r="S6" s="3"/>
      <c r="Y6" s="3"/>
      <c r="Z6" s="3"/>
      <c r="AA6" s="3"/>
      <c r="AB6" s="3"/>
      <c r="AC6" s="1"/>
    </row>
    <row r="7" ht="17.25" customHeight="1">
      <c r="A7" s="1"/>
      <c r="B7" s="23" t="s">
        <v>7</v>
      </c>
      <c r="C7" s="24" t="s">
        <v>8</v>
      </c>
      <c r="D7" s="25"/>
      <c r="E7" s="26" t="s">
        <v>9</v>
      </c>
      <c r="F7" s="27" t="str">
        <f t="array" ref="F7">IF(E1,BYROW(H7:AB30, LAMBDA(r, COUNTIF(r,""))),)</f>
        <v/>
      </c>
      <c r="G7" s="28" t="str">
        <f t="array" ref="G7">IF(E1,BYROW(H7:AB30, LAMBDA(r, COUNT(r))),)</f>
        <v/>
      </c>
      <c r="H7" s="25">
        <v>1.0</v>
      </c>
      <c r="I7" s="25">
        <v>2.0</v>
      </c>
      <c r="J7" s="25">
        <v>3.0</v>
      </c>
      <c r="K7" s="25">
        <v>4.0</v>
      </c>
      <c r="L7" s="25">
        <v>5.0</v>
      </c>
      <c r="M7" s="25">
        <v>6.0</v>
      </c>
      <c r="N7" s="25">
        <v>7.0</v>
      </c>
      <c r="O7" s="25">
        <v>8.0</v>
      </c>
      <c r="P7" s="25">
        <v>9.0</v>
      </c>
      <c r="Q7" s="25">
        <v>10.0</v>
      </c>
      <c r="R7" s="26" t="str">
        <f t="array" ref="R7:R30">E7:E30</f>
        <v>MEX</v>
      </c>
      <c r="S7" s="25">
        <v>11.0</v>
      </c>
      <c r="T7" s="25">
        <v>12.0</v>
      </c>
      <c r="U7" s="25">
        <v>13.0</v>
      </c>
      <c r="V7" s="25">
        <v>14.0</v>
      </c>
      <c r="W7" s="25">
        <v>15.0</v>
      </c>
      <c r="X7" s="25">
        <v>16.0</v>
      </c>
      <c r="Y7" s="25">
        <v>17.0</v>
      </c>
      <c r="Z7" s="25">
        <v>18.0</v>
      </c>
      <c r="AA7" s="25">
        <v>19.0</v>
      </c>
      <c r="AB7" s="25">
        <v>20.0</v>
      </c>
      <c r="AC7" s="1"/>
    </row>
    <row r="8" ht="17.25" customHeight="1">
      <c r="A8" s="1"/>
      <c r="B8" s="29"/>
      <c r="C8" s="24" t="s">
        <v>10</v>
      </c>
      <c r="D8" s="25"/>
      <c r="E8" s="26" t="s">
        <v>11</v>
      </c>
      <c r="F8" s="27"/>
      <c r="G8" s="28"/>
      <c r="H8" s="25">
        <v>1.0</v>
      </c>
      <c r="I8" s="25">
        <v>2.0</v>
      </c>
      <c r="J8" s="25">
        <v>3.0</v>
      </c>
      <c r="K8" s="25">
        <v>4.0</v>
      </c>
      <c r="L8" s="25">
        <v>5.0</v>
      </c>
      <c r="M8" s="25">
        <v>6.0</v>
      </c>
      <c r="N8" s="25">
        <v>7.0</v>
      </c>
      <c r="O8" s="25">
        <v>8.0</v>
      </c>
      <c r="P8" s="25">
        <v>9.0</v>
      </c>
      <c r="Q8" s="25">
        <v>10.0</v>
      </c>
      <c r="R8" s="26" t="s">
        <v>11</v>
      </c>
      <c r="S8" s="25">
        <v>11.0</v>
      </c>
      <c r="T8" s="25">
        <v>12.0</v>
      </c>
      <c r="U8" s="25">
        <v>13.0</v>
      </c>
      <c r="V8" s="25">
        <v>14.0</v>
      </c>
      <c r="W8" s="25">
        <v>15.0</v>
      </c>
      <c r="X8" s="25">
        <v>16.0</v>
      </c>
      <c r="Y8" s="25">
        <v>17.0</v>
      </c>
      <c r="Z8" s="25">
        <v>18.0</v>
      </c>
      <c r="AA8" s="25">
        <v>19.0</v>
      </c>
      <c r="AB8" s="25">
        <v>20.0</v>
      </c>
      <c r="AC8" s="1"/>
    </row>
    <row r="9" ht="17.25" customHeight="1">
      <c r="A9" s="1"/>
      <c r="B9" s="29"/>
      <c r="C9" s="24" t="s">
        <v>12</v>
      </c>
      <c r="D9" s="25"/>
      <c r="E9" s="26" t="s">
        <v>13</v>
      </c>
      <c r="F9" s="27"/>
      <c r="G9" s="28"/>
      <c r="H9" s="25">
        <v>1.0</v>
      </c>
      <c r="I9" s="25">
        <v>2.0</v>
      </c>
      <c r="J9" s="25">
        <v>3.0</v>
      </c>
      <c r="K9" s="25">
        <v>4.0</v>
      </c>
      <c r="L9" s="25">
        <v>5.0</v>
      </c>
      <c r="M9" s="25">
        <v>6.0</v>
      </c>
      <c r="N9" s="25">
        <v>7.0</v>
      </c>
      <c r="O9" s="25">
        <v>8.0</v>
      </c>
      <c r="P9" s="25">
        <v>9.0</v>
      </c>
      <c r="Q9" s="25">
        <v>10.0</v>
      </c>
      <c r="R9" s="26" t="s">
        <v>13</v>
      </c>
      <c r="S9" s="25">
        <v>11.0</v>
      </c>
      <c r="T9" s="25">
        <v>12.0</v>
      </c>
      <c r="U9" s="25">
        <v>13.0</v>
      </c>
      <c r="V9" s="25">
        <v>14.0</v>
      </c>
      <c r="W9" s="25">
        <v>15.0</v>
      </c>
      <c r="X9" s="25">
        <v>16.0</v>
      </c>
      <c r="Y9" s="25">
        <v>17.0</v>
      </c>
      <c r="Z9" s="25">
        <v>18.0</v>
      </c>
      <c r="AA9" s="25">
        <v>19.0</v>
      </c>
      <c r="AB9" s="25">
        <v>20.0</v>
      </c>
      <c r="AC9" s="1"/>
    </row>
    <row r="10" ht="17.25" customHeight="1">
      <c r="A10" s="1"/>
      <c r="B10" s="30"/>
      <c r="C10" s="24" t="s">
        <v>14</v>
      </c>
      <c r="D10" s="25"/>
      <c r="E10" s="26" t="s">
        <v>15</v>
      </c>
      <c r="F10" s="27"/>
      <c r="G10" s="28"/>
      <c r="H10" s="25">
        <v>1.0</v>
      </c>
      <c r="I10" s="25">
        <v>2.0</v>
      </c>
      <c r="J10" s="25">
        <v>3.0</v>
      </c>
      <c r="K10" s="25">
        <v>4.0</v>
      </c>
      <c r="L10" s="25">
        <v>5.0</v>
      </c>
      <c r="M10" s="25">
        <v>6.0</v>
      </c>
      <c r="N10" s="25">
        <v>7.0</v>
      </c>
      <c r="O10" s="25">
        <v>8.0</v>
      </c>
      <c r="P10" s="25">
        <v>9.0</v>
      </c>
      <c r="Q10" s="25">
        <v>10.0</v>
      </c>
      <c r="R10" s="26" t="s">
        <v>15</v>
      </c>
      <c r="S10" s="25">
        <v>11.0</v>
      </c>
      <c r="T10" s="25">
        <v>12.0</v>
      </c>
      <c r="U10" s="25">
        <v>13.0</v>
      </c>
      <c r="V10" s="25">
        <v>14.0</v>
      </c>
      <c r="W10" s="25">
        <v>15.0</v>
      </c>
      <c r="X10" s="25">
        <v>16.0</v>
      </c>
      <c r="Y10" s="25">
        <v>17.0</v>
      </c>
      <c r="Z10" s="25">
        <v>18.0</v>
      </c>
      <c r="AA10" s="25">
        <v>19.0</v>
      </c>
      <c r="AB10" s="25">
        <v>20.0</v>
      </c>
      <c r="AC10" s="1"/>
    </row>
    <row r="11" ht="17.25" customHeight="1">
      <c r="A11" s="1"/>
      <c r="B11" s="23" t="s">
        <v>16</v>
      </c>
      <c r="C11" s="24" t="s">
        <v>17</v>
      </c>
      <c r="D11" s="25"/>
      <c r="E11" s="26" t="s">
        <v>18</v>
      </c>
      <c r="F11" s="27"/>
      <c r="G11" s="28"/>
      <c r="H11" s="25">
        <v>1.0</v>
      </c>
      <c r="I11" s="25">
        <v>2.0</v>
      </c>
      <c r="J11" s="25">
        <v>3.0</v>
      </c>
      <c r="K11" s="25">
        <v>4.0</v>
      </c>
      <c r="L11" s="25">
        <v>5.0</v>
      </c>
      <c r="M11" s="25">
        <v>6.0</v>
      </c>
      <c r="N11" s="25">
        <v>7.0</v>
      </c>
      <c r="O11" s="25">
        <v>8.0</v>
      </c>
      <c r="P11" s="25">
        <v>9.0</v>
      </c>
      <c r="Q11" s="25">
        <v>10.0</v>
      </c>
      <c r="R11" s="26" t="s">
        <v>18</v>
      </c>
      <c r="S11" s="25">
        <v>11.0</v>
      </c>
      <c r="T11" s="25">
        <v>12.0</v>
      </c>
      <c r="U11" s="25">
        <v>13.0</v>
      </c>
      <c r="V11" s="25">
        <v>14.0</v>
      </c>
      <c r="W11" s="25">
        <v>15.0</v>
      </c>
      <c r="X11" s="25">
        <v>16.0</v>
      </c>
      <c r="Y11" s="25">
        <v>17.0</v>
      </c>
      <c r="Z11" s="25">
        <v>18.0</v>
      </c>
      <c r="AA11" s="25">
        <v>19.0</v>
      </c>
      <c r="AB11" s="25">
        <v>20.0</v>
      </c>
      <c r="AC11" s="1"/>
    </row>
    <row r="12" ht="17.25" customHeight="1">
      <c r="A12" s="1"/>
      <c r="B12" s="29"/>
      <c r="C12" s="24" t="s">
        <v>19</v>
      </c>
      <c r="D12" s="25"/>
      <c r="E12" s="26" t="s">
        <v>20</v>
      </c>
      <c r="F12" s="27"/>
      <c r="G12" s="28"/>
      <c r="H12" s="25">
        <v>1.0</v>
      </c>
      <c r="I12" s="25">
        <v>2.0</v>
      </c>
      <c r="J12" s="25">
        <v>3.0</v>
      </c>
      <c r="K12" s="25">
        <v>4.0</v>
      </c>
      <c r="L12" s="25">
        <v>5.0</v>
      </c>
      <c r="M12" s="25">
        <v>6.0</v>
      </c>
      <c r="N12" s="25">
        <v>7.0</v>
      </c>
      <c r="O12" s="25">
        <v>8.0</v>
      </c>
      <c r="P12" s="25">
        <v>9.0</v>
      </c>
      <c r="Q12" s="25">
        <v>10.0</v>
      </c>
      <c r="R12" s="26" t="s">
        <v>20</v>
      </c>
      <c r="S12" s="25">
        <v>11.0</v>
      </c>
      <c r="T12" s="25">
        <v>12.0</v>
      </c>
      <c r="U12" s="25">
        <v>13.0</v>
      </c>
      <c r="V12" s="25">
        <v>14.0</v>
      </c>
      <c r="W12" s="25">
        <v>15.0</v>
      </c>
      <c r="X12" s="25">
        <v>16.0</v>
      </c>
      <c r="Y12" s="25">
        <v>17.0</v>
      </c>
      <c r="Z12" s="25">
        <v>18.0</v>
      </c>
      <c r="AA12" s="25">
        <v>19.0</v>
      </c>
      <c r="AB12" s="25">
        <v>20.0</v>
      </c>
      <c r="AC12" s="1"/>
    </row>
    <row r="13" ht="17.25" customHeight="1">
      <c r="A13" s="1"/>
      <c r="B13" s="29"/>
      <c r="C13" s="24" t="s">
        <v>21</v>
      </c>
      <c r="D13" s="25"/>
      <c r="E13" s="26" t="s">
        <v>22</v>
      </c>
      <c r="F13" s="27"/>
      <c r="G13" s="28"/>
      <c r="H13" s="25">
        <v>1.0</v>
      </c>
      <c r="I13" s="25">
        <v>2.0</v>
      </c>
      <c r="J13" s="25">
        <v>3.0</v>
      </c>
      <c r="K13" s="25">
        <v>4.0</v>
      </c>
      <c r="L13" s="25">
        <v>5.0</v>
      </c>
      <c r="M13" s="25">
        <v>6.0</v>
      </c>
      <c r="N13" s="25">
        <v>7.0</v>
      </c>
      <c r="O13" s="25">
        <v>8.0</v>
      </c>
      <c r="P13" s="25">
        <v>9.0</v>
      </c>
      <c r="Q13" s="25">
        <v>10.0</v>
      </c>
      <c r="R13" s="26" t="s">
        <v>22</v>
      </c>
      <c r="S13" s="25">
        <v>11.0</v>
      </c>
      <c r="T13" s="25">
        <v>12.0</v>
      </c>
      <c r="U13" s="25">
        <v>13.0</v>
      </c>
      <c r="V13" s="25">
        <v>14.0</v>
      </c>
      <c r="W13" s="25">
        <v>15.0</v>
      </c>
      <c r="X13" s="25">
        <v>16.0</v>
      </c>
      <c r="Y13" s="25">
        <v>17.0</v>
      </c>
      <c r="Z13" s="25">
        <v>18.0</v>
      </c>
      <c r="AA13" s="25">
        <v>19.0</v>
      </c>
      <c r="AB13" s="25">
        <v>20.0</v>
      </c>
      <c r="AC13" s="1"/>
    </row>
    <row r="14" ht="17.25" customHeight="1">
      <c r="A14" s="1"/>
      <c r="B14" s="30"/>
      <c r="C14" s="24" t="s">
        <v>23</v>
      </c>
      <c r="D14" s="25"/>
      <c r="E14" s="26" t="s">
        <v>24</v>
      </c>
      <c r="F14" s="27"/>
      <c r="G14" s="28"/>
      <c r="H14" s="25">
        <v>1.0</v>
      </c>
      <c r="I14" s="25">
        <v>2.0</v>
      </c>
      <c r="J14" s="25">
        <v>3.0</v>
      </c>
      <c r="K14" s="25">
        <v>4.0</v>
      </c>
      <c r="L14" s="25">
        <v>5.0</v>
      </c>
      <c r="M14" s="25">
        <v>6.0</v>
      </c>
      <c r="N14" s="25">
        <v>7.0</v>
      </c>
      <c r="O14" s="25">
        <v>8.0</v>
      </c>
      <c r="P14" s="25">
        <v>9.0</v>
      </c>
      <c r="Q14" s="25">
        <v>10.0</v>
      </c>
      <c r="R14" s="26" t="s">
        <v>24</v>
      </c>
      <c r="S14" s="25">
        <v>11.0</v>
      </c>
      <c r="T14" s="25">
        <v>12.0</v>
      </c>
      <c r="U14" s="25">
        <v>13.0</v>
      </c>
      <c r="V14" s="25">
        <v>14.0</v>
      </c>
      <c r="W14" s="25">
        <v>15.0</v>
      </c>
      <c r="X14" s="25">
        <v>16.0</v>
      </c>
      <c r="Y14" s="25">
        <v>17.0</v>
      </c>
      <c r="Z14" s="25">
        <v>18.0</v>
      </c>
      <c r="AA14" s="25">
        <v>19.0</v>
      </c>
      <c r="AB14" s="25">
        <v>20.0</v>
      </c>
      <c r="AC14" s="1"/>
    </row>
    <row r="15" ht="17.25" customHeight="1">
      <c r="A15" s="1"/>
      <c r="B15" s="23" t="s">
        <v>25</v>
      </c>
      <c r="C15" s="24" t="s">
        <v>26</v>
      </c>
      <c r="D15" s="25"/>
      <c r="E15" s="26" t="s">
        <v>27</v>
      </c>
      <c r="F15" s="27"/>
      <c r="G15" s="28"/>
      <c r="H15" s="25">
        <v>1.0</v>
      </c>
      <c r="I15" s="25">
        <v>2.0</v>
      </c>
      <c r="J15" s="25">
        <v>3.0</v>
      </c>
      <c r="K15" s="25">
        <v>4.0</v>
      </c>
      <c r="L15" s="25">
        <v>5.0</v>
      </c>
      <c r="M15" s="25">
        <v>6.0</v>
      </c>
      <c r="N15" s="25">
        <v>7.0</v>
      </c>
      <c r="O15" s="25">
        <v>8.0</v>
      </c>
      <c r="P15" s="25">
        <v>9.0</v>
      </c>
      <c r="Q15" s="25">
        <v>10.0</v>
      </c>
      <c r="R15" s="26" t="s">
        <v>27</v>
      </c>
      <c r="S15" s="25">
        <v>11.0</v>
      </c>
      <c r="T15" s="25">
        <v>12.0</v>
      </c>
      <c r="U15" s="25">
        <v>13.0</v>
      </c>
      <c r="V15" s="25">
        <v>14.0</v>
      </c>
      <c r="W15" s="25">
        <v>15.0</v>
      </c>
      <c r="X15" s="25">
        <v>16.0</v>
      </c>
      <c r="Y15" s="25">
        <v>17.0</v>
      </c>
      <c r="Z15" s="25">
        <v>18.0</v>
      </c>
      <c r="AA15" s="25">
        <v>19.0</v>
      </c>
      <c r="AB15" s="25">
        <v>20.0</v>
      </c>
      <c r="AC15" s="1"/>
    </row>
    <row r="16" ht="17.25" customHeight="1">
      <c r="A16" s="1"/>
      <c r="B16" s="29"/>
      <c r="C16" s="24" t="s">
        <v>28</v>
      </c>
      <c r="D16" s="25"/>
      <c r="E16" s="26" t="s">
        <v>29</v>
      </c>
      <c r="F16" s="27"/>
      <c r="G16" s="28"/>
      <c r="H16" s="25">
        <v>1.0</v>
      </c>
      <c r="I16" s="25">
        <v>2.0</v>
      </c>
      <c r="J16" s="25">
        <v>3.0</v>
      </c>
      <c r="K16" s="25">
        <v>4.0</v>
      </c>
      <c r="L16" s="25">
        <v>5.0</v>
      </c>
      <c r="M16" s="25">
        <v>6.0</v>
      </c>
      <c r="N16" s="25">
        <v>7.0</v>
      </c>
      <c r="O16" s="25">
        <v>8.0</v>
      </c>
      <c r="P16" s="25">
        <v>9.0</v>
      </c>
      <c r="Q16" s="25">
        <v>10.0</v>
      </c>
      <c r="R16" s="26" t="s">
        <v>29</v>
      </c>
      <c r="S16" s="25">
        <v>11.0</v>
      </c>
      <c r="T16" s="25">
        <v>12.0</v>
      </c>
      <c r="U16" s="25">
        <v>13.0</v>
      </c>
      <c r="V16" s="25">
        <v>14.0</v>
      </c>
      <c r="W16" s="25">
        <v>15.0</v>
      </c>
      <c r="X16" s="25">
        <v>16.0</v>
      </c>
      <c r="Y16" s="25">
        <v>17.0</v>
      </c>
      <c r="Z16" s="25">
        <v>18.0</v>
      </c>
      <c r="AA16" s="25">
        <v>19.0</v>
      </c>
      <c r="AB16" s="25">
        <v>20.0</v>
      </c>
      <c r="AC16" s="1"/>
    </row>
    <row r="17" ht="17.25" customHeight="1">
      <c r="A17" s="1"/>
      <c r="B17" s="29"/>
      <c r="C17" s="24" t="s">
        <v>30</v>
      </c>
      <c r="D17" s="25"/>
      <c r="E17" s="26" t="s">
        <v>31</v>
      </c>
      <c r="F17" s="27"/>
      <c r="G17" s="28"/>
      <c r="H17" s="25">
        <v>1.0</v>
      </c>
      <c r="I17" s="25">
        <v>2.0</v>
      </c>
      <c r="J17" s="25">
        <v>3.0</v>
      </c>
      <c r="K17" s="25">
        <v>4.0</v>
      </c>
      <c r="L17" s="25">
        <v>5.0</v>
      </c>
      <c r="M17" s="25">
        <v>6.0</v>
      </c>
      <c r="N17" s="25">
        <v>7.0</v>
      </c>
      <c r="O17" s="25">
        <v>8.0</v>
      </c>
      <c r="P17" s="25">
        <v>9.0</v>
      </c>
      <c r="Q17" s="25">
        <v>10.0</v>
      </c>
      <c r="R17" s="26" t="s">
        <v>31</v>
      </c>
      <c r="S17" s="25">
        <v>11.0</v>
      </c>
      <c r="T17" s="25">
        <v>12.0</v>
      </c>
      <c r="U17" s="25">
        <v>13.0</v>
      </c>
      <c r="V17" s="25">
        <v>14.0</v>
      </c>
      <c r="W17" s="25">
        <v>15.0</v>
      </c>
      <c r="X17" s="25">
        <v>16.0</v>
      </c>
      <c r="Y17" s="25">
        <v>17.0</v>
      </c>
      <c r="Z17" s="25">
        <v>18.0</v>
      </c>
      <c r="AA17" s="25">
        <v>19.0</v>
      </c>
      <c r="AB17" s="25">
        <v>20.0</v>
      </c>
      <c r="AC17" s="1"/>
    </row>
    <row r="18" ht="17.25" customHeight="1">
      <c r="A18" s="1"/>
      <c r="B18" s="30"/>
      <c r="C18" s="24" t="s">
        <v>32</v>
      </c>
      <c r="D18" s="25"/>
      <c r="E18" s="26" t="s">
        <v>33</v>
      </c>
      <c r="F18" s="27"/>
      <c r="G18" s="28"/>
      <c r="H18" s="25">
        <v>1.0</v>
      </c>
      <c r="I18" s="25">
        <v>2.0</v>
      </c>
      <c r="J18" s="25">
        <v>3.0</v>
      </c>
      <c r="K18" s="25">
        <v>4.0</v>
      </c>
      <c r="L18" s="25">
        <v>5.0</v>
      </c>
      <c r="M18" s="25">
        <v>6.0</v>
      </c>
      <c r="N18" s="25">
        <v>7.0</v>
      </c>
      <c r="O18" s="25">
        <v>8.0</v>
      </c>
      <c r="P18" s="25">
        <v>9.0</v>
      </c>
      <c r="Q18" s="25">
        <v>10.0</v>
      </c>
      <c r="R18" s="26" t="s">
        <v>33</v>
      </c>
      <c r="S18" s="25">
        <v>11.0</v>
      </c>
      <c r="T18" s="25">
        <v>12.0</v>
      </c>
      <c r="U18" s="25">
        <v>13.0</v>
      </c>
      <c r="V18" s="25">
        <v>14.0</v>
      </c>
      <c r="W18" s="25">
        <v>15.0</v>
      </c>
      <c r="X18" s="25">
        <v>16.0</v>
      </c>
      <c r="Y18" s="25">
        <v>17.0</v>
      </c>
      <c r="Z18" s="25">
        <v>18.0</v>
      </c>
      <c r="AA18" s="25">
        <v>19.0</v>
      </c>
      <c r="AB18" s="25">
        <v>20.0</v>
      </c>
      <c r="AC18" s="1"/>
    </row>
    <row r="19" ht="17.25" customHeight="1">
      <c r="A19" s="1"/>
      <c r="B19" s="23" t="s">
        <v>34</v>
      </c>
      <c r="C19" s="24" t="s">
        <v>35</v>
      </c>
      <c r="D19" s="25"/>
      <c r="E19" s="26" t="s">
        <v>36</v>
      </c>
      <c r="F19" s="27"/>
      <c r="G19" s="28"/>
      <c r="H19" s="25">
        <v>1.0</v>
      </c>
      <c r="I19" s="25">
        <v>2.0</v>
      </c>
      <c r="J19" s="25">
        <v>3.0</v>
      </c>
      <c r="K19" s="25">
        <v>4.0</v>
      </c>
      <c r="L19" s="25">
        <v>5.0</v>
      </c>
      <c r="M19" s="25">
        <v>6.0</v>
      </c>
      <c r="N19" s="25">
        <v>7.0</v>
      </c>
      <c r="O19" s="25">
        <v>8.0</v>
      </c>
      <c r="P19" s="25">
        <v>9.0</v>
      </c>
      <c r="Q19" s="25">
        <v>10.0</v>
      </c>
      <c r="R19" s="26" t="s">
        <v>36</v>
      </c>
      <c r="S19" s="25">
        <v>11.0</v>
      </c>
      <c r="T19" s="25">
        <v>12.0</v>
      </c>
      <c r="U19" s="25">
        <v>13.0</v>
      </c>
      <c r="V19" s="25">
        <v>14.0</v>
      </c>
      <c r="W19" s="25">
        <v>15.0</v>
      </c>
      <c r="X19" s="25">
        <v>16.0</v>
      </c>
      <c r="Y19" s="25">
        <v>17.0</v>
      </c>
      <c r="Z19" s="25">
        <v>18.0</v>
      </c>
      <c r="AA19" s="25">
        <v>19.0</v>
      </c>
      <c r="AB19" s="25">
        <v>20.0</v>
      </c>
      <c r="AC19" s="1"/>
    </row>
    <row r="20" ht="17.25" customHeight="1">
      <c r="A20" s="1"/>
      <c r="B20" s="29"/>
      <c r="C20" s="24" t="s">
        <v>37</v>
      </c>
      <c r="D20" s="25"/>
      <c r="E20" s="26" t="s">
        <v>38</v>
      </c>
      <c r="F20" s="27"/>
      <c r="G20" s="28"/>
      <c r="H20" s="25">
        <v>1.0</v>
      </c>
      <c r="I20" s="25">
        <v>2.0</v>
      </c>
      <c r="J20" s="25">
        <v>3.0</v>
      </c>
      <c r="K20" s="25">
        <v>4.0</v>
      </c>
      <c r="L20" s="25">
        <v>5.0</v>
      </c>
      <c r="M20" s="25">
        <v>6.0</v>
      </c>
      <c r="N20" s="25">
        <v>7.0</v>
      </c>
      <c r="O20" s="25">
        <v>8.0</v>
      </c>
      <c r="P20" s="25">
        <v>9.0</v>
      </c>
      <c r="Q20" s="25">
        <v>10.0</v>
      </c>
      <c r="R20" s="26" t="s">
        <v>38</v>
      </c>
      <c r="S20" s="25">
        <v>11.0</v>
      </c>
      <c r="T20" s="25">
        <v>12.0</v>
      </c>
      <c r="U20" s="25">
        <v>13.0</v>
      </c>
      <c r="V20" s="25">
        <v>14.0</v>
      </c>
      <c r="W20" s="25">
        <v>15.0</v>
      </c>
      <c r="X20" s="25">
        <v>16.0</v>
      </c>
      <c r="Y20" s="25">
        <v>17.0</v>
      </c>
      <c r="Z20" s="25">
        <v>18.0</v>
      </c>
      <c r="AA20" s="25">
        <v>19.0</v>
      </c>
      <c r="AB20" s="25">
        <v>20.0</v>
      </c>
      <c r="AC20" s="1"/>
    </row>
    <row r="21" ht="17.25" customHeight="1">
      <c r="A21" s="1"/>
      <c r="B21" s="29"/>
      <c r="C21" s="24" t="s">
        <v>39</v>
      </c>
      <c r="D21" s="25"/>
      <c r="E21" s="26" t="s">
        <v>40</v>
      </c>
      <c r="F21" s="27"/>
      <c r="G21" s="28"/>
      <c r="H21" s="25">
        <v>1.0</v>
      </c>
      <c r="I21" s="25">
        <v>2.0</v>
      </c>
      <c r="J21" s="25">
        <v>3.0</v>
      </c>
      <c r="K21" s="25">
        <v>4.0</v>
      </c>
      <c r="L21" s="25">
        <v>5.0</v>
      </c>
      <c r="M21" s="25">
        <v>6.0</v>
      </c>
      <c r="N21" s="25">
        <v>7.0</v>
      </c>
      <c r="O21" s="25">
        <v>8.0</v>
      </c>
      <c r="P21" s="25">
        <v>9.0</v>
      </c>
      <c r="Q21" s="25">
        <v>10.0</v>
      </c>
      <c r="R21" s="26" t="s">
        <v>40</v>
      </c>
      <c r="S21" s="25">
        <v>11.0</v>
      </c>
      <c r="T21" s="25">
        <v>12.0</v>
      </c>
      <c r="U21" s="25">
        <v>13.0</v>
      </c>
      <c r="V21" s="25">
        <v>14.0</v>
      </c>
      <c r="W21" s="25">
        <v>15.0</v>
      </c>
      <c r="X21" s="25">
        <v>16.0</v>
      </c>
      <c r="Y21" s="25">
        <v>17.0</v>
      </c>
      <c r="Z21" s="25">
        <v>18.0</v>
      </c>
      <c r="AA21" s="25">
        <v>19.0</v>
      </c>
      <c r="AB21" s="25">
        <v>20.0</v>
      </c>
      <c r="AC21" s="1"/>
    </row>
    <row r="22" ht="17.25" customHeight="1">
      <c r="A22" s="1"/>
      <c r="B22" s="30"/>
      <c r="C22" s="24" t="s">
        <v>41</v>
      </c>
      <c r="D22" s="25"/>
      <c r="E22" s="26" t="s">
        <v>42</v>
      </c>
      <c r="F22" s="27"/>
      <c r="G22" s="28"/>
      <c r="H22" s="25">
        <v>1.0</v>
      </c>
      <c r="I22" s="25">
        <v>2.0</v>
      </c>
      <c r="J22" s="25">
        <v>3.0</v>
      </c>
      <c r="K22" s="25">
        <v>4.0</v>
      </c>
      <c r="L22" s="25">
        <v>5.0</v>
      </c>
      <c r="M22" s="25">
        <v>6.0</v>
      </c>
      <c r="N22" s="25">
        <v>7.0</v>
      </c>
      <c r="O22" s="25">
        <v>8.0</v>
      </c>
      <c r="P22" s="25">
        <v>9.0</v>
      </c>
      <c r="Q22" s="25">
        <v>10.0</v>
      </c>
      <c r="R22" s="26" t="s">
        <v>42</v>
      </c>
      <c r="S22" s="25">
        <v>11.0</v>
      </c>
      <c r="T22" s="25">
        <v>12.0</v>
      </c>
      <c r="U22" s="25">
        <v>13.0</v>
      </c>
      <c r="V22" s="25">
        <v>14.0</v>
      </c>
      <c r="W22" s="25">
        <v>15.0</v>
      </c>
      <c r="X22" s="25">
        <v>16.0</v>
      </c>
      <c r="Y22" s="25">
        <v>17.0</v>
      </c>
      <c r="Z22" s="25">
        <v>18.0</v>
      </c>
      <c r="AA22" s="25">
        <v>19.0</v>
      </c>
      <c r="AB22" s="25">
        <v>20.0</v>
      </c>
      <c r="AC22" s="1"/>
    </row>
    <row r="23" ht="17.25" customHeight="1">
      <c r="A23" s="1"/>
      <c r="B23" s="23" t="s">
        <v>43</v>
      </c>
      <c r="C23" s="24" t="s">
        <v>44</v>
      </c>
      <c r="D23" s="25"/>
      <c r="E23" s="26" t="s">
        <v>45</v>
      </c>
      <c r="F23" s="27"/>
      <c r="G23" s="28"/>
      <c r="H23" s="25">
        <v>1.0</v>
      </c>
      <c r="I23" s="25">
        <v>2.0</v>
      </c>
      <c r="J23" s="25">
        <v>3.0</v>
      </c>
      <c r="K23" s="25">
        <v>4.0</v>
      </c>
      <c r="L23" s="25">
        <v>5.0</v>
      </c>
      <c r="M23" s="25">
        <v>6.0</v>
      </c>
      <c r="N23" s="25">
        <v>7.0</v>
      </c>
      <c r="O23" s="25">
        <v>8.0</v>
      </c>
      <c r="P23" s="25">
        <v>9.0</v>
      </c>
      <c r="Q23" s="25">
        <v>10.0</v>
      </c>
      <c r="R23" s="26" t="s">
        <v>45</v>
      </c>
      <c r="S23" s="25">
        <v>11.0</v>
      </c>
      <c r="T23" s="25">
        <v>12.0</v>
      </c>
      <c r="U23" s="25">
        <v>13.0</v>
      </c>
      <c r="V23" s="25">
        <v>14.0</v>
      </c>
      <c r="W23" s="25">
        <v>15.0</v>
      </c>
      <c r="X23" s="25">
        <v>16.0</v>
      </c>
      <c r="Y23" s="25">
        <v>17.0</v>
      </c>
      <c r="Z23" s="25">
        <v>18.0</v>
      </c>
      <c r="AA23" s="25">
        <v>19.0</v>
      </c>
      <c r="AB23" s="25">
        <v>20.0</v>
      </c>
      <c r="AC23" s="1"/>
    </row>
    <row r="24" ht="17.25" customHeight="1">
      <c r="A24" s="1"/>
      <c r="B24" s="29"/>
      <c r="C24" s="24" t="s">
        <v>46</v>
      </c>
      <c r="D24" s="25"/>
      <c r="E24" s="26" t="s">
        <v>47</v>
      </c>
      <c r="F24" s="27"/>
      <c r="G24" s="28"/>
      <c r="H24" s="25">
        <v>1.0</v>
      </c>
      <c r="I24" s="25">
        <v>2.0</v>
      </c>
      <c r="J24" s="25">
        <v>3.0</v>
      </c>
      <c r="K24" s="25">
        <v>4.0</v>
      </c>
      <c r="L24" s="25">
        <v>5.0</v>
      </c>
      <c r="M24" s="25">
        <v>6.0</v>
      </c>
      <c r="N24" s="25">
        <v>7.0</v>
      </c>
      <c r="O24" s="25">
        <v>8.0</v>
      </c>
      <c r="P24" s="25">
        <v>9.0</v>
      </c>
      <c r="Q24" s="25">
        <v>10.0</v>
      </c>
      <c r="R24" s="26" t="s">
        <v>47</v>
      </c>
      <c r="S24" s="25">
        <v>11.0</v>
      </c>
      <c r="T24" s="25">
        <v>12.0</v>
      </c>
      <c r="U24" s="25">
        <v>13.0</v>
      </c>
      <c r="V24" s="25">
        <v>14.0</v>
      </c>
      <c r="W24" s="25">
        <v>15.0</v>
      </c>
      <c r="X24" s="25">
        <v>16.0</v>
      </c>
      <c r="Y24" s="25">
        <v>17.0</v>
      </c>
      <c r="Z24" s="25">
        <v>18.0</v>
      </c>
      <c r="AA24" s="25">
        <v>19.0</v>
      </c>
      <c r="AB24" s="25">
        <v>20.0</v>
      </c>
      <c r="AC24" s="1"/>
    </row>
    <row r="25" ht="17.25" customHeight="1">
      <c r="A25" s="1"/>
      <c r="B25" s="29"/>
      <c r="C25" s="24" t="s">
        <v>48</v>
      </c>
      <c r="D25" s="25"/>
      <c r="E25" s="26" t="s">
        <v>49</v>
      </c>
      <c r="F25" s="27"/>
      <c r="G25" s="28"/>
      <c r="H25" s="25">
        <v>1.0</v>
      </c>
      <c r="I25" s="25">
        <v>2.0</v>
      </c>
      <c r="J25" s="25">
        <v>3.0</v>
      </c>
      <c r="K25" s="25">
        <v>4.0</v>
      </c>
      <c r="L25" s="25">
        <v>5.0</v>
      </c>
      <c r="M25" s="25">
        <v>6.0</v>
      </c>
      <c r="N25" s="25">
        <v>7.0</v>
      </c>
      <c r="O25" s="25">
        <v>8.0</v>
      </c>
      <c r="P25" s="25">
        <v>9.0</v>
      </c>
      <c r="Q25" s="25">
        <v>10.0</v>
      </c>
      <c r="R25" s="26" t="s">
        <v>49</v>
      </c>
      <c r="S25" s="25">
        <v>11.0</v>
      </c>
      <c r="T25" s="25">
        <v>12.0</v>
      </c>
      <c r="U25" s="25">
        <v>13.0</v>
      </c>
      <c r="V25" s="25">
        <v>14.0</v>
      </c>
      <c r="W25" s="25">
        <v>15.0</v>
      </c>
      <c r="X25" s="25">
        <v>16.0</v>
      </c>
      <c r="Y25" s="25">
        <v>17.0</v>
      </c>
      <c r="Z25" s="25">
        <v>18.0</v>
      </c>
      <c r="AA25" s="25">
        <v>19.0</v>
      </c>
      <c r="AB25" s="25">
        <v>20.0</v>
      </c>
      <c r="AC25" s="1"/>
    </row>
    <row r="26" ht="17.25" customHeight="1">
      <c r="A26" s="1"/>
      <c r="B26" s="30"/>
      <c r="C26" s="24" t="s">
        <v>50</v>
      </c>
      <c r="D26" s="25"/>
      <c r="E26" s="26" t="s">
        <v>51</v>
      </c>
      <c r="F26" s="27"/>
      <c r="G26" s="28"/>
      <c r="H26" s="25">
        <v>1.0</v>
      </c>
      <c r="I26" s="25">
        <v>2.0</v>
      </c>
      <c r="J26" s="25">
        <v>3.0</v>
      </c>
      <c r="K26" s="25">
        <v>4.0</v>
      </c>
      <c r="L26" s="25">
        <v>5.0</v>
      </c>
      <c r="M26" s="25">
        <v>6.0</v>
      </c>
      <c r="N26" s="25">
        <v>7.0</v>
      </c>
      <c r="O26" s="25">
        <v>8.0</v>
      </c>
      <c r="P26" s="25">
        <v>9.0</v>
      </c>
      <c r="Q26" s="25">
        <v>10.0</v>
      </c>
      <c r="R26" s="26" t="s">
        <v>51</v>
      </c>
      <c r="S26" s="25">
        <v>11.0</v>
      </c>
      <c r="T26" s="25">
        <v>12.0</v>
      </c>
      <c r="U26" s="25">
        <v>13.0</v>
      </c>
      <c r="V26" s="25">
        <v>14.0</v>
      </c>
      <c r="W26" s="25">
        <v>15.0</v>
      </c>
      <c r="X26" s="25">
        <v>16.0</v>
      </c>
      <c r="Y26" s="25">
        <v>17.0</v>
      </c>
      <c r="Z26" s="25">
        <v>18.0</v>
      </c>
      <c r="AA26" s="25">
        <v>19.0</v>
      </c>
      <c r="AB26" s="25">
        <v>20.0</v>
      </c>
      <c r="AC26" s="1"/>
    </row>
    <row r="27" ht="17.25" customHeight="1">
      <c r="A27" s="1"/>
      <c r="B27" s="23" t="s">
        <v>52</v>
      </c>
      <c r="C27" s="24" t="s">
        <v>53</v>
      </c>
      <c r="D27" s="25"/>
      <c r="E27" s="26" t="s">
        <v>54</v>
      </c>
      <c r="F27" s="27"/>
      <c r="G27" s="28"/>
      <c r="H27" s="25">
        <v>1.0</v>
      </c>
      <c r="I27" s="25">
        <v>2.0</v>
      </c>
      <c r="J27" s="25">
        <v>3.0</v>
      </c>
      <c r="K27" s="25">
        <v>4.0</v>
      </c>
      <c r="L27" s="25">
        <v>5.0</v>
      </c>
      <c r="M27" s="25">
        <v>6.0</v>
      </c>
      <c r="N27" s="25">
        <v>7.0</v>
      </c>
      <c r="O27" s="25">
        <v>8.0</v>
      </c>
      <c r="P27" s="25">
        <v>9.0</v>
      </c>
      <c r="Q27" s="25">
        <v>10.0</v>
      </c>
      <c r="R27" s="26" t="s">
        <v>54</v>
      </c>
      <c r="S27" s="25">
        <v>11.0</v>
      </c>
      <c r="T27" s="25">
        <v>12.0</v>
      </c>
      <c r="U27" s="25">
        <v>13.0</v>
      </c>
      <c r="V27" s="25">
        <v>14.0</v>
      </c>
      <c r="W27" s="25">
        <v>15.0</v>
      </c>
      <c r="X27" s="25">
        <v>16.0</v>
      </c>
      <c r="Y27" s="25">
        <v>17.0</v>
      </c>
      <c r="Z27" s="25">
        <v>18.0</v>
      </c>
      <c r="AA27" s="25">
        <v>19.0</v>
      </c>
      <c r="AB27" s="25">
        <v>20.0</v>
      </c>
      <c r="AC27" s="1"/>
    </row>
    <row r="28" ht="17.25" customHeight="1">
      <c r="A28" s="1"/>
      <c r="B28" s="29"/>
      <c r="C28" s="24" t="s">
        <v>55</v>
      </c>
      <c r="D28" s="25"/>
      <c r="E28" s="26" t="s">
        <v>56</v>
      </c>
      <c r="F28" s="27"/>
      <c r="G28" s="28"/>
      <c r="H28" s="25">
        <v>1.0</v>
      </c>
      <c r="I28" s="25">
        <v>2.0</v>
      </c>
      <c r="J28" s="25">
        <v>3.0</v>
      </c>
      <c r="K28" s="25">
        <v>4.0</v>
      </c>
      <c r="L28" s="25">
        <v>5.0</v>
      </c>
      <c r="M28" s="25">
        <v>6.0</v>
      </c>
      <c r="N28" s="25">
        <v>7.0</v>
      </c>
      <c r="O28" s="25">
        <v>8.0</v>
      </c>
      <c r="P28" s="25">
        <v>9.0</v>
      </c>
      <c r="Q28" s="25">
        <v>10.0</v>
      </c>
      <c r="R28" s="26" t="s">
        <v>56</v>
      </c>
      <c r="S28" s="25">
        <v>11.0</v>
      </c>
      <c r="T28" s="25">
        <v>12.0</v>
      </c>
      <c r="U28" s="25">
        <v>13.0</v>
      </c>
      <c r="V28" s="25">
        <v>14.0</v>
      </c>
      <c r="W28" s="25">
        <v>15.0</v>
      </c>
      <c r="X28" s="25">
        <v>16.0</v>
      </c>
      <c r="Y28" s="25">
        <v>17.0</v>
      </c>
      <c r="Z28" s="25">
        <v>18.0</v>
      </c>
      <c r="AA28" s="25">
        <v>19.0</v>
      </c>
      <c r="AB28" s="25">
        <v>20.0</v>
      </c>
      <c r="AC28" s="1"/>
    </row>
    <row r="29" ht="17.25" customHeight="1">
      <c r="A29" s="1"/>
      <c r="B29" s="29"/>
      <c r="C29" s="24" t="s">
        <v>57</v>
      </c>
      <c r="D29" s="25"/>
      <c r="E29" s="26" t="s">
        <v>58</v>
      </c>
      <c r="F29" s="27"/>
      <c r="G29" s="28"/>
      <c r="H29" s="25">
        <v>1.0</v>
      </c>
      <c r="I29" s="25">
        <v>2.0</v>
      </c>
      <c r="J29" s="25">
        <v>3.0</v>
      </c>
      <c r="K29" s="25">
        <v>4.0</v>
      </c>
      <c r="L29" s="25">
        <v>5.0</v>
      </c>
      <c r="M29" s="25">
        <v>6.0</v>
      </c>
      <c r="N29" s="25">
        <v>7.0</v>
      </c>
      <c r="O29" s="25">
        <v>8.0</v>
      </c>
      <c r="P29" s="25">
        <v>9.0</v>
      </c>
      <c r="Q29" s="25">
        <v>10.0</v>
      </c>
      <c r="R29" s="26" t="s">
        <v>58</v>
      </c>
      <c r="S29" s="25">
        <v>11.0</v>
      </c>
      <c r="T29" s="25">
        <v>12.0</v>
      </c>
      <c r="U29" s="25">
        <v>13.0</v>
      </c>
      <c r="V29" s="25">
        <v>14.0</v>
      </c>
      <c r="W29" s="25">
        <v>15.0</v>
      </c>
      <c r="X29" s="25">
        <v>16.0</v>
      </c>
      <c r="Y29" s="25">
        <v>17.0</v>
      </c>
      <c r="Z29" s="25">
        <v>18.0</v>
      </c>
      <c r="AA29" s="25">
        <v>19.0</v>
      </c>
      <c r="AB29" s="25">
        <v>20.0</v>
      </c>
      <c r="AC29" s="1"/>
    </row>
    <row r="30" ht="17.25" customHeight="1">
      <c r="A30" s="1"/>
      <c r="B30" s="30"/>
      <c r="C30" s="24" t="s">
        <v>59</v>
      </c>
      <c r="D30" s="25"/>
      <c r="E30" s="26" t="s">
        <v>60</v>
      </c>
      <c r="F30" s="27"/>
      <c r="G30" s="28"/>
      <c r="H30" s="25">
        <v>1.0</v>
      </c>
      <c r="I30" s="25">
        <v>2.0</v>
      </c>
      <c r="J30" s="25">
        <v>3.0</v>
      </c>
      <c r="K30" s="25">
        <v>4.0</v>
      </c>
      <c r="L30" s="25">
        <v>5.0</v>
      </c>
      <c r="M30" s="25">
        <v>6.0</v>
      </c>
      <c r="N30" s="25">
        <v>7.0</v>
      </c>
      <c r="O30" s="25">
        <v>8.0</v>
      </c>
      <c r="P30" s="25">
        <v>9.0</v>
      </c>
      <c r="Q30" s="25">
        <v>10.0</v>
      </c>
      <c r="R30" s="26" t="s">
        <v>60</v>
      </c>
      <c r="S30" s="25">
        <v>11.0</v>
      </c>
      <c r="T30" s="25">
        <v>12.0</v>
      </c>
      <c r="U30" s="25">
        <v>13.0</v>
      </c>
      <c r="V30" s="25">
        <v>14.0</v>
      </c>
      <c r="W30" s="25">
        <v>15.0</v>
      </c>
      <c r="X30" s="25">
        <v>16.0</v>
      </c>
      <c r="Y30" s="25">
        <v>17.0</v>
      </c>
      <c r="Z30" s="25">
        <v>18.0</v>
      </c>
      <c r="AA30" s="25">
        <v>19.0</v>
      </c>
      <c r="AB30" s="25">
        <v>20.0</v>
      </c>
      <c r="AC30" s="1"/>
    </row>
    <row r="31" ht="40.5" customHeight="1">
      <c r="A31" s="1"/>
      <c r="B31" s="31" t="s">
        <v>61</v>
      </c>
      <c r="R31" s="31"/>
      <c r="S31" s="31"/>
      <c r="T31" s="31"/>
      <c r="U31" s="31"/>
      <c r="V31" s="31"/>
      <c r="W31" s="31"/>
      <c r="X31" s="31"/>
      <c r="Y31" s="31"/>
      <c r="Z31" s="31"/>
      <c r="AA31" s="32"/>
      <c r="AB31" s="32"/>
      <c r="AC31" s="1"/>
    </row>
    <row r="32" ht="17.25" customHeight="1">
      <c r="A32" s="1"/>
      <c r="B32" s="23" t="s">
        <v>62</v>
      </c>
      <c r="C32" s="24" t="s">
        <v>63</v>
      </c>
      <c r="D32" s="25"/>
      <c r="E32" s="26" t="s">
        <v>64</v>
      </c>
      <c r="F32" s="27" t="str">
        <f t="array" ref="F32">IF(E1,BYROW(H32:AB55, LAMBDA(r, COUNTIF(r,""))),)</f>
        <v/>
      </c>
      <c r="G32" s="33" t="str">
        <f t="array" ref="G32">IF(E1,BYROW(H32:AB55, LAMBDA(r, COUNT(r))),)</f>
        <v/>
      </c>
      <c r="H32" s="25">
        <v>1.0</v>
      </c>
      <c r="I32" s="25">
        <v>2.0</v>
      </c>
      <c r="J32" s="25">
        <v>3.0</v>
      </c>
      <c r="K32" s="25">
        <v>4.0</v>
      </c>
      <c r="L32" s="25">
        <v>5.0</v>
      </c>
      <c r="M32" s="25">
        <v>6.0</v>
      </c>
      <c r="N32" s="25">
        <v>7.0</v>
      </c>
      <c r="O32" s="25">
        <v>8.0</v>
      </c>
      <c r="P32" s="25">
        <v>9.0</v>
      </c>
      <c r="Q32" s="25">
        <v>10.0</v>
      </c>
      <c r="R32" s="26" t="str">
        <f t="array" ref="R32:R55">E32:E55</f>
        <v>BEL</v>
      </c>
      <c r="S32" s="25">
        <v>11.0</v>
      </c>
      <c r="T32" s="25">
        <v>12.0</v>
      </c>
      <c r="U32" s="25">
        <v>13.0</v>
      </c>
      <c r="V32" s="25">
        <v>14.0</v>
      </c>
      <c r="W32" s="25">
        <v>15.0</v>
      </c>
      <c r="X32" s="25">
        <v>16.0</v>
      </c>
      <c r="Y32" s="25">
        <v>17.0</v>
      </c>
      <c r="Z32" s="25">
        <v>18.0</v>
      </c>
      <c r="AA32" s="25">
        <v>19.0</v>
      </c>
      <c r="AB32" s="25">
        <v>20.0</v>
      </c>
      <c r="AC32" s="1"/>
    </row>
    <row r="33" ht="17.25" customHeight="1">
      <c r="A33" s="1"/>
      <c r="B33" s="29"/>
      <c r="C33" s="24" t="s">
        <v>65</v>
      </c>
      <c r="D33" s="25"/>
      <c r="E33" s="26" t="s">
        <v>66</v>
      </c>
      <c r="F33" s="27"/>
      <c r="G33" s="28"/>
      <c r="H33" s="25">
        <v>1.0</v>
      </c>
      <c r="I33" s="25">
        <v>2.0</v>
      </c>
      <c r="J33" s="25">
        <v>3.0</v>
      </c>
      <c r="K33" s="25">
        <v>4.0</v>
      </c>
      <c r="L33" s="25">
        <v>5.0</v>
      </c>
      <c r="M33" s="25">
        <v>6.0</v>
      </c>
      <c r="N33" s="25">
        <v>7.0</v>
      </c>
      <c r="O33" s="25">
        <v>8.0</v>
      </c>
      <c r="P33" s="25">
        <v>9.0</v>
      </c>
      <c r="Q33" s="25">
        <v>10.0</v>
      </c>
      <c r="R33" s="26" t="s">
        <v>66</v>
      </c>
      <c r="S33" s="25">
        <v>11.0</v>
      </c>
      <c r="T33" s="25">
        <v>12.0</v>
      </c>
      <c r="U33" s="25">
        <v>13.0</v>
      </c>
      <c r="V33" s="25">
        <v>14.0</v>
      </c>
      <c r="W33" s="25">
        <v>15.0</v>
      </c>
      <c r="X33" s="25">
        <v>16.0</v>
      </c>
      <c r="Y33" s="25">
        <v>17.0</v>
      </c>
      <c r="Z33" s="25">
        <v>18.0</v>
      </c>
      <c r="AA33" s="25">
        <v>19.0</v>
      </c>
      <c r="AB33" s="25">
        <v>20.0</v>
      </c>
      <c r="AC33" s="1"/>
    </row>
    <row r="34" ht="17.25" customHeight="1">
      <c r="A34" s="1"/>
      <c r="B34" s="29"/>
      <c r="C34" s="24" t="s">
        <v>67</v>
      </c>
      <c r="D34" s="25"/>
      <c r="E34" s="26" t="s">
        <v>68</v>
      </c>
      <c r="F34" s="27"/>
      <c r="G34" s="28"/>
      <c r="H34" s="25">
        <v>1.0</v>
      </c>
      <c r="I34" s="25">
        <v>2.0</v>
      </c>
      <c r="J34" s="25">
        <v>3.0</v>
      </c>
      <c r="K34" s="25">
        <v>4.0</v>
      </c>
      <c r="L34" s="25">
        <v>5.0</v>
      </c>
      <c r="M34" s="25">
        <v>6.0</v>
      </c>
      <c r="N34" s="25">
        <v>7.0</v>
      </c>
      <c r="O34" s="25">
        <v>8.0</v>
      </c>
      <c r="P34" s="25">
        <v>9.0</v>
      </c>
      <c r="Q34" s="25">
        <v>10.0</v>
      </c>
      <c r="R34" s="26" t="s">
        <v>68</v>
      </c>
      <c r="S34" s="25">
        <v>11.0</v>
      </c>
      <c r="T34" s="25">
        <v>12.0</v>
      </c>
      <c r="U34" s="25">
        <v>13.0</v>
      </c>
      <c r="V34" s="25">
        <v>14.0</v>
      </c>
      <c r="W34" s="25">
        <v>15.0</v>
      </c>
      <c r="X34" s="25">
        <v>16.0</v>
      </c>
      <c r="Y34" s="25">
        <v>17.0</v>
      </c>
      <c r="Z34" s="25">
        <v>18.0</v>
      </c>
      <c r="AA34" s="25">
        <v>19.0</v>
      </c>
      <c r="AB34" s="25">
        <v>20.0</v>
      </c>
      <c r="AC34" s="1"/>
    </row>
    <row r="35" ht="17.25" customHeight="1">
      <c r="A35" s="1"/>
      <c r="B35" s="30"/>
      <c r="C35" s="24" t="s">
        <v>69</v>
      </c>
      <c r="D35" s="25"/>
      <c r="E35" s="26" t="s">
        <v>70</v>
      </c>
      <c r="F35" s="27"/>
      <c r="G35" s="28"/>
      <c r="H35" s="25">
        <v>1.0</v>
      </c>
      <c r="I35" s="25">
        <v>2.0</v>
      </c>
      <c r="J35" s="25">
        <v>3.0</v>
      </c>
      <c r="K35" s="25">
        <v>4.0</v>
      </c>
      <c r="L35" s="25">
        <v>5.0</v>
      </c>
      <c r="M35" s="25">
        <v>6.0</v>
      </c>
      <c r="N35" s="25">
        <v>7.0</v>
      </c>
      <c r="O35" s="25">
        <v>8.0</v>
      </c>
      <c r="P35" s="25">
        <v>9.0</v>
      </c>
      <c r="Q35" s="25">
        <v>10.0</v>
      </c>
      <c r="R35" s="26" t="s">
        <v>70</v>
      </c>
      <c r="S35" s="25">
        <v>11.0</v>
      </c>
      <c r="T35" s="25">
        <v>12.0</v>
      </c>
      <c r="U35" s="25">
        <v>13.0</v>
      </c>
      <c r="V35" s="25">
        <v>14.0</v>
      </c>
      <c r="W35" s="25">
        <v>15.0</v>
      </c>
      <c r="X35" s="25">
        <v>16.0</v>
      </c>
      <c r="Y35" s="25">
        <v>17.0</v>
      </c>
      <c r="Z35" s="25">
        <v>18.0</v>
      </c>
      <c r="AA35" s="25">
        <v>19.0</v>
      </c>
      <c r="AB35" s="25">
        <v>20.0</v>
      </c>
      <c r="AC35" s="1"/>
    </row>
    <row r="36" ht="17.25" customHeight="1">
      <c r="A36" s="1"/>
      <c r="B36" s="23" t="s">
        <v>71</v>
      </c>
      <c r="C36" s="24" t="s">
        <v>72</v>
      </c>
      <c r="D36" s="25"/>
      <c r="E36" s="26" t="s">
        <v>73</v>
      </c>
      <c r="F36" s="27"/>
      <c r="G36" s="28"/>
      <c r="H36" s="25">
        <v>1.0</v>
      </c>
      <c r="I36" s="25">
        <v>2.0</v>
      </c>
      <c r="J36" s="25">
        <v>3.0</v>
      </c>
      <c r="K36" s="25">
        <v>4.0</v>
      </c>
      <c r="L36" s="25">
        <v>5.0</v>
      </c>
      <c r="M36" s="25">
        <v>6.0</v>
      </c>
      <c r="N36" s="25">
        <v>7.0</v>
      </c>
      <c r="O36" s="25">
        <v>8.0</v>
      </c>
      <c r="P36" s="25">
        <v>9.0</v>
      </c>
      <c r="Q36" s="25">
        <v>10.0</v>
      </c>
      <c r="R36" s="26" t="s">
        <v>73</v>
      </c>
      <c r="S36" s="25">
        <v>11.0</v>
      </c>
      <c r="T36" s="25">
        <v>12.0</v>
      </c>
      <c r="U36" s="25">
        <v>13.0</v>
      </c>
      <c r="V36" s="25">
        <v>14.0</v>
      </c>
      <c r="W36" s="25">
        <v>15.0</v>
      </c>
      <c r="X36" s="25">
        <v>16.0</v>
      </c>
      <c r="Y36" s="25">
        <v>17.0</v>
      </c>
      <c r="Z36" s="25">
        <v>18.0</v>
      </c>
      <c r="AA36" s="25">
        <v>19.0</v>
      </c>
      <c r="AB36" s="25">
        <v>20.0</v>
      </c>
      <c r="AC36" s="1"/>
    </row>
    <row r="37" ht="17.25" customHeight="1">
      <c r="A37" s="1"/>
      <c r="B37" s="29"/>
      <c r="C37" s="24" t="s">
        <v>74</v>
      </c>
      <c r="D37" s="25"/>
      <c r="E37" s="26" t="s">
        <v>75</v>
      </c>
      <c r="F37" s="27"/>
      <c r="G37" s="28"/>
      <c r="H37" s="25">
        <v>1.0</v>
      </c>
      <c r="I37" s="25">
        <v>2.0</v>
      </c>
      <c r="J37" s="25">
        <v>3.0</v>
      </c>
      <c r="K37" s="25">
        <v>4.0</v>
      </c>
      <c r="L37" s="25">
        <v>5.0</v>
      </c>
      <c r="M37" s="25">
        <v>6.0</v>
      </c>
      <c r="N37" s="25">
        <v>7.0</v>
      </c>
      <c r="O37" s="25">
        <v>8.0</v>
      </c>
      <c r="P37" s="25">
        <v>9.0</v>
      </c>
      <c r="Q37" s="25">
        <v>10.0</v>
      </c>
      <c r="R37" s="26" t="s">
        <v>75</v>
      </c>
      <c r="S37" s="25">
        <v>11.0</v>
      </c>
      <c r="T37" s="25">
        <v>12.0</v>
      </c>
      <c r="U37" s="25">
        <v>13.0</v>
      </c>
      <c r="V37" s="25">
        <v>14.0</v>
      </c>
      <c r="W37" s="25">
        <v>15.0</v>
      </c>
      <c r="X37" s="25">
        <v>16.0</v>
      </c>
      <c r="Y37" s="25">
        <v>17.0</v>
      </c>
      <c r="Z37" s="25">
        <v>18.0</v>
      </c>
      <c r="AA37" s="25">
        <v>19.0</v>
      </c>
      <c r="AB37" s="25">
        <v>20.0</v>
      </c>
      <c r="AC37" s="1"/>
    </row>
    <row r="38" ht="17.25" customHeight="1">
      <c r="A38" s="1"/>
      <c r="B38" s="29"/>
      <c r="C38" s="24" t="s">
        <v>76</v>
      </c>
      <c r="D38" s="25"/>
      <c r="E38" s="26" t="s">
        <v>77</v>
      </c>
      <c r="F38" s="27"/>
      <c r="G38" s="28"/>
      <c r="H38" s="25">
        <v>1.0</v>
      </c>
      <c r="I38" s="25">
        <v>2.0</v>
      </c>
      <c r="J38" s="25">
        <v>3.0</v>
      </c>
      <c r="K38" s="25">
        <v>4.0</v>
      </c>
      <c r="L38" s="25">
        <v>5.0</v>
      </c>
      <c r="M38" s="25">
        <v>6.0</v>
      </c>
      <c r="N38" s="25">
        <v>7.0</v>
      </c>
      <c r="O38" s="25">
        <v>8.0</v>
      </c>
      <c r="P38" s="25">
        <v>9.0</v>
      </c>
      <c r="Q38" s="25">
        <v>10.0</v>
      </c>
      <c r="R38" s="26" t="s">
        <v>77</v>
      </c>
      <c r="S38" s="25">
        <v>11.0</v>
      </c>
      <c r="T38" s="25">
        <v>12.0</v>
      </c>
      <c r="U38" s="25">
        <v>13.0</v>
      </c>
      <c r="V38" s="25">
        <v>14.0</v>
      </c>
      <c r="W38" s="25">
        <v>15.0</v>
      </c>
      <c r="X38" s="25">
        <v>16.0</v>
      </c>
      <c r="Y38" s="25">
        <v>17.0</v>
      </c>
      <c r="Z38" s="25">
        <v>18.0</v>
      </c>
      <c r="AA38" s="25">
        <v>19.0</v>
      </c>
      <c r="AB38" s="25">
        <v>20.0</v>
      </c>
      <c r="AC38" s="1"/>
    </row>
    <row r="39" ht="17.25" customHeight="1">
      <c r="A39" s="1"/>
      <c r="B39" s="30"/>
      <c r="C39" s="24" t="s">
        <v>78</v>
      </c>
      <c r="D39" s="25"/>
      <c r="E39" s="26" t="s">
        <v>79</v>
      </c>
      <c r="F39" s="27"/>
      <c r="G39" s="28"/>
      <c r="H39" s="25">
        <v>1.0</v>
      </c>
      <c r="I39" s="25">
        <v>2.0</v>
      </c>
      <c r="J39" s="25">
        <v>3.0</v>
      </c>
      <c r="K39" s="25">
        <v>4.0</v>
      </c>
      <c r="L39" s="25">
        <v>5.0</v>
      </c>
      <c r="M39" s="25">
        <v>6.0</v>
      </c>
      <c r="N39" s="25">
        <v>7.0</v>
      </c>
      <c r="O39" s="25">
        <v>8.0</v>
      </c>
      <c r="P39" s="25">
        <v>9.0</v>
      </c>
      <c r="Q39" s="25">
        <v>10.0</v>
      </c>
      <c r="R39" s="26" t="s">
        <v>79</v>
      </c>
      <c r="S39" s="25">
        <v>11.0</v>
      </c>
      <c r="T39" s="25">
        <v>12.0</v>
      </c>
      <c r="U39" s="25">
        <v>13.0</v>
      </c>
      <c r="V39" s="25">
        <v>14.0</v>
      </c>
      <c r="W39" s="25">
        <v>15.0</v>
      </c>
      <c r="X39" s="25">
        <v>16.0</v>
      </c>
      <c r="Y39" s="25">
        <v>17.0</v>
      </c>
      <c r="Z39" s="25">
        <v>18.0</v>
      </c>
      <c r="AA39" s="25">
        <v>19.0</v>
      </c>
      <c r="AB39" s="25">
        <v>20.0</v>
      </c>
      <c r="AC39" s="1"/>
    </row>
    <row r="40" ht="17.25" customHeight="1">
      <c r="A40" s="1"/>
      <c r="B40" s="23" t="s">
        <v>80</v>
      </c>
      <c r="C40" s="24" t="s">
        <v>81</v>
      </c>
      <c r="D40" s="25"/>
      <c r="E40" s="26" t="s">
        <v>82</v>
      </c>
      <c r="F40" s="27"/>
      <c r="G40" s="28"/>
      <c r="H40" s="25">
        <v>1.0</v>
      </c>
      <c r="I40" s="25">
        <v>2.0</v>
      </c>
      <c r="J40" s="25">
        <v>3.0</v>
      </c>
      <c r="K40" s="25">
        <v>4.0</v>
      </c>
      <c r="L40" s="25">
        <v>5.0</v>
      </c>
      <c r="M40" s="25">
        <v>6.0</v>
      </c>
      <c r="N40" s="25">
        <v>7.0</v>
      </c>
      <c r="O40" s="25">
        <v>8.0</v>
      </c>
      <c r="P40" s="25">
        <v>9.0</v>
      </c>
      <c r="Q40" s="25">
        <v>10.0</v>
      </c>
      <c r="R40" s="26" t="s">
        <v>82</v>
      </c>
      <c r="S40" s="25">
        <v>11.0</v>
      </c>
      <c r="T40" s="25">
        <v>12.0</v>
      </c>
      <c r="U40" s="25">
        <v>13.0</v>
      </c>
      <c r="V40" s="25">
        <v>14.0</v>
      </c>
      <c r="W40" s="25">
        <v>15.0</v>
      </c>
      <c r="X40" s="25">
        <v>16.0</v>
      </c>
      <c r="Y40" s="25">
        <v>17.0</v>
      </c>
      <c r="Z40" s="25">
        <v>18.0</v>
      </c>
      <c r="AA40" s="25">
        <v>19.0</v>
      </c>
      <c r="AB40" s="25">
        <v>20.0</v>
      </c>
      <c r="AC40" s="1"/>
    </row>
    <row r="41" ht="17.25" customHeight="1">
      <c r="A41" s="1"/>
      <c r="B41" s="29"/>
      <c r="C41" s="24" t="s">
        <v>83</v>
      </c>
      <c r="D41" s="25"/>
      <c r="E41" s="26" t="s">
        <v>84</v>
      </c>
      <c r="F41" s="27"/>
      <c r="G41" s="28"/>
      <c r="H41" s="25">
        <v>1.0</v>
      </c>
      <c r="I41" s="25">
        <v>2.0</v>
      </c>
      <c r="J41" s="25">
        <v>3.0</v>
      </c>
      <c r="K41" s="25">
        <v>4.0</v>
      </c>
      <c r="L41" s="25">
        <v>5.0</v>
      </c>
      <c r="M41" s="25">
        <v>6.0</v>
      </c>
      <c r="N41" s="25">
        <v>7.0</v>
      </c>
      <c r="O41" s="25">
        <v>8.0</v>
      </c>
      <c r="P41" s="25">
        <v>9.0</v>
      </c>
      <c r="Q41" s="25">
        <v>10.0</v>
      </c>
      <c r="R41" s="26" t="s">
        <v>84</v>
      </c>
      <c r="S41" s="25">
        <v>11.0</v>
      </c>
      <c r="T41" s="25">
        <v>12.0</v>
      </c>
      <c r="U41" s="25">
        <v>13.0</v>
      </c>
      <c r="V41" s="25">
        <v>14.0</v>
      </c>
      <c r="W41" s="25">
        <v>15.0</v>
      </c>
      <c r="X41" s="25">
        <v>16.0</v>
      </c>
      <c r="Y41" s="25">
        <v>17.0</v>
      </c>
      <c r="Z41" s="25">
        <v>18.0</v>
      </c>
      <c r="AA41" s="25">
        <v>19.0</v>
      </c>
      <c r="AB41" s="25">
        <v>20.0</v>
      </c>
      <c r="AC41" s="1"/>
    </row>
    <row r="42" ht="17.25" customHeight="1">
      <c r="A42" s="1"/>
      <c r="B42" s="29"/>
      <c r="C42" s="24" t="s">
        <v>85</v>
      </c>
      <c r="D42" s="25"/>
      <c r="E42" s="26" t="s">
        <v>86</v>
      </c>
      <c r="F42" s="27"/>
      <c r="G42" s="28"/>
      <c r="H42" s="25">
        <v>1.0</v>
      </c>
      <c r="I42" s="25">
        <v>2.0</v>
      </c>
      <c r="J42" s="25">
        <v>3.0</v>
      </c>
      <c r="K42" s="25">
        <v>4.0</v>
      </c>
      <c r="L42" s="25">
        <v>5.0</v>
      </c>
      <c r="M42" s="25">
        <v>6.0</v>
      </c>
      <c r="N42" s="25">
        <v>7.0</v>
      </c>
      <c r="O42" s="25">
        <v>8.0</v>
      </c>
      <c r="P42" s="25">
        <v>9.0</v>
      </c>
      <c r="Q42" s="25">
        <v>10.0</v>
      </c>
      <c r="R42" s="26" t="s">
        <v>86</v>
      </c>
      <c r="S42" s="25">
        <v>11.0</v>
      </c>
      <c r="T42" s="25">
        <v>12.0</v>
      </c>
      <c r="U42" s="25">
        <v>13.0</v>
      </c>
      <c r="V42" s="25">
        <v>14.0</v>
      </c>
      <c r="W42" s="25">
        <v>15.0</v>
      </c>
      <c r="X42" s="25">
        <v>16.0</v>
      </c>
      <c r="Y42" s="25">
        <v>17.0</v>
      </c>
      <c r="Z42" s="25">
        <v>18.0</v>
      </c>
      <c r="AA42" s="25">
        <v>19.0</v>
      </c>
      <c r="AB42" s="25">
        <v>20.0</v>
      </c>
      <c r="AC42" s="1"/>
    </row>
    <row r="43" ht="17.25" customHeight="1">
      <c r="A43" s="1"/>
      <c r="B43" s="30"/>
      <c r="C43" s="24" t="s">
        <v>87</v>
      </c>
      <c r="D43" s="25"/>
      <c r="E43" s="26" t="s">
        <v>88</v>
      </c>
      <c r="F43" s="27"/>
      <c r="G43" s="28"/>
      <c r="H43" s="25">
        <v>1.0</v>
      </c>
      <c r="I43" s="25">
        <v>2.0</v>
      </c>
      <c r="J43" s="25">
        <v>3.0</v>
      </c>
      <c r="K43" s="25">
        <v>4.0</v>
      </c>
      <c r="L43" s="25">
        <v>5.0</v>
      </c>
      <c r="M43" s="25">
        <v>6.0</v>
      </c>
      <c r="N43" s="25">
        <v>7.0</v>
      </c>
      <c r="O43" s="25">
        <v>8.0</v>
      </c>
      <c r="P43" s="25">
        <v>9.0</v>
      </c>
      <c r="Q43" s="25">
        <v>10.0</v>
      </c>
      <c r="R43" s="26" t="s">
        <v>88</v>
      </c>
      <c r="S43" s="25">
        <v>11.0</v>
      </c>
      <c r="T43" s="25">
        <v>12.0</v>
      </c>
      <c r="U43" s="25">
        <v>13.0</v>
      </c>
      <c r="V43" s="25">
        <v>14.0</v>
      </c>
      <c r="W43" s="25">
        <v>15.0</v>
      </c>
      <c r="X43" s="25">
        <v>16.0</v>
      </c>
      <c r="Y43" s="25">
        <v>17.0</v>
      </c>
      <c r="Z43" s="25">
        <v>18.0</v>
      </c>
      <c r="AA43" s="25">
        <v>19.0</v>
      </c>
      <c r="AB43" s="25">
        <v>20.0</v>
      </c>
      <c r="AC43" s="1"/>
    </row>
    <row r="44" ht="17.25" customHeight="1">
      <c r="A44" s="1"/>
      <c r="B44" s="23" t="s">
        <v>89</v>
      </c>
      <c r="C44" s="24" t="s">
        <v>90</v>
      </c>
      <c r="D44" s="25"/>
      <c r="E44" s="26" t="s">
        <v>91</v>
      </c>
      <c r="F44" s="27"/>
      <c r="G44" s="28"/>
      <c r="H44" s="25">
        <v>1.0</v>
      </c>
      <c r="I44" s="25">
        <v>2.0</v>
      </c>
      <c r="J44" s="25">
        <v>3.0</v>
      </c>
      <c r="K44" s="25">
        <v>4.0</v>
      </c>
      <c r="L44" s="25">
        <v>5.0</v>
      </c>
      <c r="M44" s="25">
        <v>6.0</v>
      </c>
      <c r="N44" s="25">
        <v>7.0</v>
      </c>
      <c r="O44" s="25">
        <v>8.0</v>
      </c>
      <c r="P44" s="25">
        <v>9.0</v>
      </c>
      <c r="Q44" s="25">
        <v>10.0</v>
      </c>
      <c r="R44" s="26" t="s">
        <v>91</v>
      </c>
      <c r="S44" s="25">
        <v>11.0</v>
      </c>
      <c r="T44" s="25">
        <v>12.0</v>
      </c>
      <c r="U44" s="25">
        <v>13.0</v>
      </c>
      <c r="V44" s="25">
        <v>14.0</v>
      </c>
      <c r="W44" s="25">
        <v>15.0</v>
      </c>
      <c r="X44" s="25">
        <v>16.0</v>
      </c>
      <c r="Y44" s="25">
        <v>17.0</v>
      </c>
      <c r="Z44" s="25">
        <v>18.0</v>
      </c>
      <c r="AA44" s="25">
        <v>19.0</v>
      </c>
      <c r="AB44" s="25">
        <v>20.0</v>
      </c>
      <c r="AC44" s="1"/>
    </row>
    <row r="45" ht="17.25" customHeight="1">
      <c r="A45" s="1"/>
      <c r="B45" s="29"/>
      <c r="C45" s="24" t="s">
        <v>92</v>
      </c>
      <c r="D45" s="25"/>
      <c r="E45" s="26" t="s">
        <v>93</v>
      </c>
      <c r="F45" s="27"/>
      <c r="G45" s="28"/>
      <c r="H45" s="25">
        <v>1.0</v>
      </c>
      <c r="I45" s="25">
        <v>2.0</v>
      </c>
      <c r="J45" s="25">
        <v>3.0</v>
      </c>
      <c r="K45" s="25">
        <v>4.0</v>
      </c>
      <c r="L45" s="25">
        <v>5.0</v>
      </c>
      <c r="M45" s="25">
        <v>6.0</v>
      </c>
      <c r="N45" s="25">
        <v>7.0</v>
      </c>
      <c r="O45" s="25">
        <v>8.0</v>
      </c>
      <c r="P45" s="25">
        <v>9.0</v>
      </c>
      <c r="Q45" s="25">
        <v>10.0</v>
      </c>
      <c r="R45" s="26" t="s">
        <v>93</v>
      </c>
      <c r="S45" s="25">
        <v>11.0</v>
      </c>
      <c r="T45" s="25">
        <v>12.0</v>
      </c>
      <c r="U45" s="25">
        <v>13.0</v>
      </c>
      <c r="V45" s="25">
        <v>14.0</v>
      </c>
      <c r="W45" s="25">
        <v>15.0</v>
      </c>
      <c r="X45" s="25">
        <v>16.0</v>
      </c>
      <c r="Y45" s="25">
        <v>17.0</v>
      </c>
      <c r="Z45" s="25">
        <v>18.0</v>
      </c>
      <c r="AA45" s="25">
        <v>19.0</v>
      </c>
      <c r="AB45" s="25">
        <v>20.0</v>
      </c>
      <c r="AC45" s="1"/>
    </row>
    <row r="46" ht="17.25" customHeight="1">
      <c r="A46" s="1"/>
      <c r="B46" s="29"/>
      <c r="C46" s="24" t="s">
        <v>94</v>
      </c>
      <c r="D46" s="25"/>
      <c r="E46" s="26" t="s">
        <v>95</v>
      </c>
      <c r="F46" s="27"/>
      <c r="G46" s="28"/>
      <c r="H46" s="25">
        <v>1.0</v>
      </c>
      <c r="I46" s="25">
        <v>2.0</v>
      </c>
      <c r="J46" s="25">
        <v>3.0</v>
      </c>
      <c r="K46" s="25">
        <v>4.0</v>
      </c>
      <c r="L46" s="25">
        <v>5.0</v>
      </c>
      <c r="M46" s="25">
        <v>6.0</v>
      </c>
      <c r="N46" s="25">
        <v>7.0</v>
      </c>
      <c r="O46" s="25">
        <v>8.0</v>
      </c>
      <c r="P46" s="25">
        <v>9.0</v>
      </c>
      <c r="Q46" s="25">
        <v>10.0</v>
      </c>
      <c r="R46" s="26" t="s">
        <v>95</v>
      </c>
      <c r="S46" s="25">
        <v>11.0</v>
      </c>
      <c r="T46" s="25">
        <v>12.0</v>
      </c>
      <c r="U46" s="25">
        <v>13.0</v>
      </c>
      <c r="V46" s="25">
        <v>14.0</v>
      </c>
      <c r="W46" s="25">
        <v>15.0</v>
      </c>
      <c r="X46" s="25">
        <v>16.0</v>
      </c>
      <c r="Y46" s="25">
        <v>17.0</v>
      </c>
      <c r="Z46" s="25">
        <v>18.0</v>
      </c>
      <c r="AA46" s="25">
        <v>19.0</v>
      </c>
      <c r="AB46" s="25">
        <v>20.0</v>
      </c>
      <c r="AC46" s="1"/>
    </row>
    <row r="47" ht="17.25" customHeight="1">
      <c r="A47" s="1"/>
      <c r="B47" s="30"/>
      <c r="C47" s="24" t="s">
        <v>96</v>
      </c>
      <c r="D47" s="25"/>
      <c r="E47" s="26" t="s">
        <v>97</v>
      </c>
      <c r="F47" s="27"/>
      <c r="G47" s="28"/>
      <c r="H47" s="25">
        <v>1.0</v>
      </c>
      <c r="I47" s="25">
        <v>2.0</v>
      </c>
      <c r="J47" s="25">
        <v>3.0</v>
      </c>
      <c r="K47" s="25">
        <v>4.0</v>
      </c>
      <c r="L47" s="25">
        <v>5.0</v>
      </c>
      <c r="M47" s="25">
        <v>6.0</v>
      </c>
      <c r="N47" s="25">
        <v>7.0</v>
      </c>
      <c r="O47" s="25">
        <v>8.0</v>
      </c>
      <c r="P47" s="25">
        <v>9.0</v>
      </c>
      <c r="Q47" s="25">
        <v>10.0</v>
      </c>
      <c r="R47" s="26" t="s">
        <v>97</v>
      </c>
      <c r="S47" s="25">
        <v>11.0</v>
      </c>
      <c r="T47" s="25">
        <v>12.0</v>
      </c>
      <c r="U47" s="25">
        <v>13.0</v>
      </c>
      <c r="V47" s="25">
        <v>14.0</v>
      </c>
      <c r="W47" s="25">
        <v>15.0</v>
      </c>
      <c r="X47" s="25">
        <v>16.0</v>
      </c>
      <c r="Y47" s="25">
        <v>17.0</v>
      </c>
      <c r="Z47" s="25">
        <v>18.0</v>
      </c>
      <c r="AA47" s="25">
        <v>19.0</v>
      </c>
      <c r="AB47" s="25">
        <v>20.0</v>
      </c>
      <c r="AC47" s="1"/>
    </row>
    <row r="48" ht="17.25" customHeight="1">
      <c r="A48" s="1"/>
      <c r="B48" s="23" t="s">
        <v>98</v>
      </c>
      <c r="C48" s="24" t="s">
        <v>99</v>
      </c>
      <c r="D48" s="25"/>
      <c r="E48" s="26" t="s">
        <v>100</v>
      </c>
      <c r="F48" s="27"/>
      <c r="G48" s="28"/>
      <c r="H48" s="25">
        <v>1.0</v>
      </c>
      <c r="I48" s="25">
        <v>2.0</v>
      </c>
      <c r="J48" s="25">
        <v>3.0</v>
      </c>
      <c r="K48" s="25">
        <v>4.0</v>
      </c>
      <c r="L48" s="25">
        <v>5.0</v>
      </c>
      <c r="M48" s="25">
        <v>6.0</v>
      </c>
      <c r="N48" s="25">
        <v>7.0</v>
      </c>
      <c r="O48" s="25">
        <v>8.0</v>
      </c>
      <c r="P48" s="25">
        <v>9.0</v>
      </c>
      <c r="Q48" s="25">
        <v>10.0</v>
      </c>
      <c r="R48" s="26" t="s">
        <v>100</v>
      </c>
      <c r="S48" s="25">
        <v>11.0</v>
      </c>
      <c r="T48" s="25">
        <v>12.0</v>
      </c>
      <c r="U48" s="25">
        <v>13.0</v>
      </c>
      <c r="V48" s="25">
        <v>14.0</v>
      </c>
      <c r="W48" s="25">
        <v>15.0</v>
      </c>
      <c r="X48" s="25">
        <v>16.0</v>
      </c>
      <c r="Y48" s="25">
        <v>17.0</v>
      </c>
      <c r="Z48" s="25">
        <v>18.0</v>
      </c>
      <c r="AA48" s="25">
        <v>19.0</v>
      </c>
      <c r="AB48" s="25">
        <v>20.0</v>
      </c>
      <c r="AC48" s="1"/>
    </row>
    <row r="49" ht="17.25" customHeight="1">
      <c r="A49" s="1"/>
      <c r="B49" s="29"/>
      <c r="C49" s="24" t="s">
        <v>101</v>
      </c>
      <c r="D49" s="25"/>
      <c r="E49" s="26" t="s">
        <v>102</v>
      </c>
      <c r="F49" s="27"/>
      <c r="G49" s="28"/>
      <c r="H49" s="25">
        <v>1.0</v>
      </c>
      <c r="I49" s="25">
        <v>2.0</v>
      </c>
      <c r="J49" s="25">
        <v>3.0</v>
      </c>
      <c r="K49" s="25">
        <v>4.0</v>
      </c>
      <c r="L49" s="25">
        <v>5.0</v>
      </c>
      <c r="M49" s="25">
        <v>6.0</v>
      </c>
      <c r="N49" s="25">
        <v>7.0</v>
      </c>
      <c r="O49" s="25">
        <v>8.0</v>
      </c>
      <c r="P49" s="25">
        <v>9.0</v>
      </c>
      <c r="Q49" s="25">
        <v>10.0</v>
      </c>
      <c r="R49" s="26" t="s">
        <v>102</v>
      </c>
      <c r="S49" s="25">
        <v>11.0</v>
      </c>
      <c r="T49" s="25">
        <v>12.0</v>
      </c>
      <c r="U49" s="25">
        <v>13.0</v>
      </c>
      <c r="V49" s="25">
        <v>14.0</v>
      </c>
      <c r="W49" s="25">
        <v>15.0</v>
      </c>
      <c r="X49" s="25">
        <v>16.0</v>
      </c>
      <c r="Y49" s="25">
        <v>17.0</v>
      </c>
      <c r="Z49" s="25">
        <v>18.0</v>
      </c>
      <c r="AA49" s="25">
        <v>19.0</v>
      </c>
      <c r="AB49" s="25">
        <v>20.0</v>
      </c>
      <c r="AC49" s="1"/>
    </row>
    <row r="50" ht="17.25" customHeight="1">
      <c r="A50" s="1"/>
      <c r="B50" s="29"/>
      <c r="C50" s="24" t="s">
        <v>103</v>
      </c>
      <c r="D50" s="25"/>
      <c r="E50" s="26" t="s">
        <v>104</v>
      </c>
      <c r="F50" s="27"/>
      <c r="G50" s="28"/>
      <c r="H50" s="25">
        <v>1.0</v>
      </c>
      <c r="I50" s="25">
        <v>2.0</v>
      </c>
      <c r="J50" s="25">
        <v>3.0</v>
      </c>
      <c r="K50" s="25">
        <v>4.0</v>
      </c>
      <c r="L50" s="25">
        <v>5.0</v>
      </c>
      <c r="M50" s="25">
        <v>6.0</v>
      </c>
      <c r="N50" s="25">
        <v>7.0</v>
      </c>
      <c r="O50" s="25">
        <v>8.0</v>
      </c>
      <c r="P50" s="25">
        <v>9.0</v>
      </c>
      <c r="Q50" s="25">
        <v>10.0</v>
      </c>
      <c r="R50" s="26" t="s">
        <v>104</v>
      </c>
      <c r="S50" s="25">
        <v>11.0</v>
      </c>
      <c r="T50" s="25">
        <v>12.0</v>
      </c>
      <c r="U50" s="25">
        <v>13.0</v>
      </c>
      <c r="V50" s="25">
        <v>14.0</v>
      </c>
      <c r="W50" s="25">
        <v>15.0</v>
      </c>
      <c r="X50" s="25">
        <v>16.0</v>
      </c>
      <c r="Y50" s="25">
        <v>17.0</v>
      </c>
      <c r="Z50" s="25">
        <v>18.0</v>
      </c>
      <c r="AA50" s="25">
        <v>19.0</v>
      </c>
      <c r="AB50" s="25">
        <v>20.0</v>
      </c>
      <c r="AC50" s="1"/>
    </row>
    <row r="51" ht="17.25" customHeight="1">
      <c r="A51" s="1"/>
      <c r="B51" s="30"/>
      <c r="C51" s="24" t="s">
        <v>105</v>
      </c>
      <c r="D51" s="25"/>
      <c r="E51" s="26" t="s">
        <v>106</v>
      </c>
      <c r="F51" s="27"/>
      <c r="G51" s="28"/>
      <c r="H51" s="25">
        <v>1.0</v>
      </c>
      <c r="I51" s="25">
        <v>2.0</v>
      </c>
      <c r="J51" s="25">
        <v>3.0</v>
      </c>
      <c r="K51" s="25">
        <v>4.0</v>
      </c>
      <c r="L51" s="25">
        <v>5.0</v>
      </c>
      <c r="M51" s="25">
        <v>6.0</v>
      </c>
      <c r="N51" s="25">
        <v>7.0</v>
      </c>
      <c r="O51" s="25">
        <v>8.0</v>
      </c>
      <c r="P51" s="25">
        <v>9.0</v>
      </c>
      <c r="Q51" s="25">
        <v>10.0</v>
      </c>
      <c r="R51" s="26" t="s">
        <v>106</v>
      </c>
      <c r="S51" s="25">
        <v>11.0</v>
      </c>
      <c r="T51" s="25">
        <v>12.0</v>
      </c>
      <c r="U51" s="25">
        <v>13.0</v>
      </c>
      <c r="V51" s="25">
        <v>14.0</v>
      </c>
      <c r="W51" s="25">
        <v>15.0</v>
      </c>
      <c r="X51" s="25">
        <v>16.0</v>
      </c>
      <c r="Y51" s="25">
        <v>17.0</v>
      </c>
      <c r="Z51" s="25">
        <v>18.0</v>
      </c>
      <c r="AA51" s="25">
        <v>19.0</v>
      </c>
      <c r="AB51" s="25">
        <v>20.0</v>
      </c>
      <c r="AC51" s="1"/>
    </row>
    <row r="52" ht="17.25" customHeight="1">
      <c r="A52" s="1"/>
      <c r="B52" s="23" t="s">
        <v>107</v>
      </c>
      <c r="C52" s="24" t="s">
        <v>108</v>
      </c>
      <c r="D52" s="25"/>
      <c r="E52" s="26" t="s">
        <v>109</v>
      </c>
      <c r="F52" s="27"/>
      <c r="G52" s="28"/>
      <c r="H52" s="25">
        <v>1.0</v>
      </c>
      <c r="I52" s="25">
        <v>2.0</v>
      </c>
      <c r="J52" s="25">
        <v>3.0</v>
      </c>
      <c r="K52" s="25">
        <v>4.0</v>
      </c>
      <c r="L52" s="25">
        <v>5.0</v>
      </c>
      <c r="M52" s="25">
        <v>6.0</v>
      </c>
      <c r="N52" s="25">
        <v>7.0</v>
      </c>
      <c r="O52" s="25">
        <v>8.0</v>
      </c>
      <c r="P52" s="25">
        <v>9.0</v>
      </c>
      <c r="Q52" s="25">
        <v>10.0</v>
      </c>
      <c r="R52" s="26" t="s">
        <v>109</v>
      </c>
      <c r="S52" s="25">
        <v>11.0</v>
      </c>
      <c r="T52" s="25">
        <v>12.0</v>
      </c>
      <c r="U52" s="25">
        <v>13.0</v>
      </c>
      <c r="V52" s="25">
        <v>14.0</v>
      </c>
      <c r="W52" s="25">
        <v>15.0</v>
      </c>
      <c r="X52" s="25">
        <v>16.0</v>
      </c>
      <c r="Y52" s="25">
        <v>17.0</v>
      </c>
      <c r="Z52" s="25">
        <v>18.0</v>
      </c>
      <c r="AA52" s="25">
        <v>19.0</v>
      </c>
      <c r="AB52" s="25">
        <v>20.0</v>
      </c>
      <c r="AC52" s="1"/>
    </row>
    <row r="53" ht="17.25" customHeight="1">
      <c r="A53" s="1"/>
      <c r="B53" s="29"/>
      <c r="C53" s="24" t="s">
        <v>110</v>
      </c>
      <c r="D53" s="25"/>
      <c r="E53" s="26" t="s">
        <v>111</v>
      </c>
      <c r="F53" s="27"/>
      <c r="G53" s="28"/>
      <c r="H53" s="25">
        <v>1.0</v>
      </c>
      <c r="I53" s="25">
        <v>2.0</v>
      </c>
      <c r="J53" s="25">
        <v>3.0</v>
      </c>
      <c r="K53" s="25">
        <v>4.0</v>
      </c>
      <c r="L53" s="25">
        <v>5.0</v>
      </c>
      <c r="M53" s="25">
        <v>6.0</v>
      </c>
      <c r="N53" s="25">
        <v>7.0</v>
      </c>
      <c r="O53" s="25">
        <v>8.0</v>
      </c>
      <c r="P53" s="25">
        <v>9.0</v>
      </c>
      <c r="Q53" s="25">
        <v>10.0</v>
      </c>
      <c r="R53" s="26" t="s">
        <v>111</v>
      </c>
      <c r="S53" s="25">
        <v>11.0</v>
      </c>
      <c r="T53" s="25">
        <v>12.0</v>
      </c>
      <c r="U53" s="25">
        <v>13.0</v>
      </c>
      <c r="V53" s="25">
        <v>14.0</v>
      </c>
      <c r="W53" s="25">
        <v>15.0</v>
      </c>
      <c r="X53" s="25">
        <v>16.0</v>
      </c>
      <c r="Y53" s="25">
        <v>17.0</v>
      </c>
      <c r="Z53" s="25">
        <v>18.0</v>
      </c>
      <c r="AA53" s="25">
        <v>19.0</v>
      </c>
      <c r="AB53" s="25">
        <v>20.0</v>
      </c>
      <c r="AC53" s="1"/>
    </row>
    <row r="54" ht="17.25" customHeight="1">
      <c r="A54" s="1"/>
      <c r="B54" s="29"/>
      <c r="C54" s="24" t="s">
        <v>112</v>
      </c>
      <c r="D54" s="25"/>
      <c r="E54" s="26" t="s">
        <v>113</v>
      </c>
      <c r="F54" s="27"/>
      <c r="G54" s="28"/>
      <c r="H54" s="25">
        <v>1.0</v>
      </c>
      <c r="I54" s="25">
        <v>2.0</v>
      </c>
      <c r="J54" s="25">
        <v>3.0</v>
      </c>
      <c r="K54" s="25">
        <v>4.0</v>
      </c>
      <c r="L54" s="25">
        <v>5.0</v>
      </c>
      <c r="M54" s="25">
        <v>6.0</v>
      </c>
      <c r="N54" s="25">
        <v>7.0</v>
      </c>
      <c r="O54" s="25">
        <v>8.0</v>
      </c>
      <c r="P54" s="25">
        <v>9.0</v>
      </c>
      <c r="Q54" s="25">
        <v>10.0</v>
      </c>
      <c r="R54" s="26" t="s">
        <v>113</v>
      </c>
      <c r="S54" s="25">
        <v>11.0</v>
      </c>
      <c r="T54" s="25">
        <v>12.0</v>
      </c>
      <c r="U54" s="25">
        <v>13.0</v>
      </c>
      <c r="V54" s="25">
        <v>14.0</v>
      </c>
      <c r="W54" s="25">
        <v>15.0</v>
      </c>
      <c r="X54" s="25">
        <v>16.0</v>
      </c>
      <c r="Y54" s="25">
        <v>17.0</v>
      </c>
      <c r="Z54" s="25">
        <v>18.0</v>
      </c>
      <c r="AA54" s="25">
        <v>19.0</v>
      </c>
      <c r="AB54" s="25">
        <v>20.0</v>
      </c>
      <c r="AC54" s="1"/>
    </row>
    <row r="55" ht="17.25" customHeight="1">
      <c r="A55" s="1"/>
      <c r="B55" s="30"/>
      <c r="C55" s="24" t="s">
        <v>114</v>
      </c>
      <c r="D55" s="25"/>
      <c r="E55" s="26" t="s">
        <v>115</v>
      </c>
      <c r="F55" s="27"/>
      <c r="G55" s="28"/>
      <c r="H55" s="25">
        <v>1.0</v>
      </c>
      <c r="I55" s="25">
        <v>2.0</v>
      </c>
      <c r="J55" s="25">
        <v>3.0</v>
      </c>
      <c r="K55" s="25">
        <v>4.0</v>
      </c>
      <c r="L55" s="25">
        <v>5.0</v>
      </c>
      <c r="M55" s="25">
        <v>6.0</v>
      </c>
      <c r="N55" s="25">
        <v>7.0</v>
      </c>
      <c r="O55" s="25">
        <v>8.0</v>
      </c>
      <c r="P55" s="25">
        <v>9.0</v>
      </c>
      <c r="Q55" s="25">
        <v>10.0</v>
      </c>
      <c r="R55" s="26" t="s">
        <v>115</v>
      </c>
      <c r="S55" s="25">
        <v>11.0</v>
      </c>
      <c r="T55" s="25">
        <v>12.0</v>
      </c>
      <c r="U55" s="25">
        <v>13.0</v>
      </c>
      <c r="V55" s="25">
        <v>14.0</v>
      </c>
      <c r="W55" s="25">
        <v>15.0</v>
      </c>
      <c r="X55" s="25">
        <v>16.0</v>
      </c>
      <c r="Y55" s="25">
        <v>17.0</v>
      </c>
      <c r="Z55" s="25">
        <v>18.0</v>
      </c>
      <c r="AA55" s="25">
        <v>19.0</v>
      </c>
      <c r="AB55" s="25">
        <v>20.0</v>
      </c>
      <c r="AC55" s="1"/>
    </row>
    <row r="56" ht="17.25" customHeight="1">
      <c r="A56" s="1"/>
      <c r="B56" s="34" t="s">
        <v>116</v>
      </c>
      <c r="C56" s="35"/>
      <c r="D56" s="18"/>
      <c r="E56" s="36" t="s">
        <v>6</v>
      </c>
      <c r="F56" s="12" t="str">
        <f>IF(E1,COUNTIF(H56:R56,""),)</f>
        <v/>
      </c>
      <c r="G56" s="37" t="str">
        <f>IF($E$1, COUNT(H56:R56),)</f>
        <v/>
      </c>
      <c r="H56" s="38">
        <v>9.0</v>
      </c>
      <c r="I56" s="38">
        <v>10.0</v>
      </c>
      <c r="J56" s="38">
        <v>11.0</v>
      </c>
      <c r="K56" s="38">
        <v>12.0</v>
      </c>
      <c r="L56" s="38">
        <v>13.0</v>
      </c>
      <c r="M56" s="38">
        <v>14.0</v>
      </c>
      <c r="N56" s="38">
        <v>15.0</v>
      </c>
      <c r="O56" s="38">
        <v>16.0</v>
      </c>
      <c r="P56" s="38">
        <v>17.0</v>
      </c>
      <c r="Q56" s="38">
        <v>18.0</v>
      </c>
      <c r="R56" s="38">
        <v>19.0</v>
      </c>
      <c r="S56" s="14"/>
      <c r="T56" s="14"/>
      <c r="U56" s="14"/>
      <c r="V56" s="14"/>
      <c r="W56" s="14"/>
      <c r="X56" s="14"/>
      <c r="Y56" s="3"/>
      <c r="Z56" s="3"/>
      <c r="AA56" s="3"/>
      <c r="AB56" s="3"/>
      <c r="AC56" s="1"/>
    </row>
    <row r="57" ht="17.25" customHeight="1">
      <c r="A57" s="1"/>
      <c r="B57" s="39" t="s">
        <v>117</v>
      </c>
      <c r="C57" s="35"/>
      <c r="D57" s="40"/>
      <c r="E57" s="19" t="s">
        <v>118</v>
      </c>
      <c r="F57" s="20" t="str">
        <f>IF(E1,COUNTIF(H57:U57,""),)</f>
        <v/>
      </c>
      <c r="G57" s="21" t="str">
        <f>IF($E$1, COUNT(H57:U57),)</f>
        <v/>
      </c>
      <c r="H57" s="22">
        <v>1.0</v>
      </c>
      <c r="I57" s="22">
        <v>2.0</v>
      </c>
      <c r="J57" s="22">
        <v>3.0</v>
      </c>
      <c r="K57" s="22">
        <v>4.0</v>
      </c>
      <c r="L57" s="22">
        <v>5.0</v>
      </c>
      <c r="M57" s="22">
        <v>6.0</v>
      </c>
      <c r="N57" s="22">
        <v>7.0</v>
      </c>
      <c r="O57" s="22">
        <v>8.0</v>
      </c>
      <c r="P57" s="22">
        <v>9.0</v>
      </c>
      <c r="Q57" s="22">
        <v>10.0</v>
      </c>
      <c r="R57" s="22">
        <v>11.0</v>
      </c>
      <c r="S57" s="22">
        <v>12.0</v>
      </c>
      <c r="T57" s="22">
        <v>13.0</v>
      </c>
      <c r="U57" s="22">
        <v>14.0</v>
      </c>
      <c r="V57" s="14"/>
      <c r="W57" s="3"/>
      <c r="X57" s="3"/>
      <c r="Y57" s="3"/>
      <c r="Z57" s="3"/>
      <c r="AA57" s="3"/>
      <c r="AB57" s="3"/>
      <c r="AC57" s="1"/>
    </row>
    <row r="58">
      <c r="B58" s="41" t="s">
        <v>119</v>
      </c>
      <c r="V58" s="42"/>
      <c r="W58" s="42"/>
      <c r="X58" s="42"/>
      <c r="Y58" s="42"/>
      <c r="Z58" s="42"/>
      <c r="AA58" s="42"/>
      <c r="AB58" s="42"/>
    </row>
  </sheetData>
  <mergeCells count="19">
    <mergeCell ref="I1:S4"/>
    <mergeCell ref="F2:G2"/>
    <mergeCell ref="T5:X6"/>
    <mergeCell ref="B7:B10"/>
    <mergeCell ref="B11:B14"/>
    <mergeCell ref="B15:B18"/>
    <mergeCell ref="B19:B22"/>
    <mergeCell ref="B48:B51"/>
    <mergeCell ref="B52:B55"/>
    <mergeCell ref="B56:C56"/>
    <mergeCell ref="B57:C57"/>
    <mergeCell ref="B58:U58"/>
    <mergeCell ref="B23:B26"/>
    <mergeCell ref="B27:B30"/>
    <mergeCell ref="B32:B35"/>
    <mergeCell ref="B36:B39"/>
    <mergeCell ref="B40:B43"/>
    <mergeCell ref="B44:B47"/>
    <mergeCell ref="B31:Q31"/>
  </mergeCells>
  <conditionalFormatting sqref="H7:AB30">
    <cfRule type="containsBlanks" dxfId="3" priority="1">
      <formula>LEN(TRIM(H7))=0</formula>
    </cfRule>
  </conditionalFormatting>
  <conditionalFormatting sqref="H6:P6">
    <cfRule type="containsBlanks" dxfId="3" priority="2">
      <formula>LEN(TRIM(H6))=0</formula>
    </cfRule>
  </conditionalFormatting>
  <conditionalFormatting sqref="H32:AB55">
    <cfRule type="containsBlanks" dxfId="3" priority="3">
      <formula>LEN(TRIM(H32))=0</formula>
    </cfRule>
  </conditionalFormatting>
  <conditionalFormatting sqref="H56:R56">
    <cfRule type="containsBlanks" dxfId="3" priority="4">
      <formula>LEN(TRIM(H56))=0</formula>
    </cfRule>
  </conditionalFormatting>
  <conditionalFormatting sqref="H57:U57">
    <cfRule type="containsBlanks" dxfId="3" priority="5">
      <formula>LEN(TRIM(H57))=0</formula>
    </cfRule>
  </conditionalFormatting>
  <printOptions gridLines="1" horizontalCentered="1"/>
  <pageMargins bottom="0.19685039370078738" footer="0.0" header="0.0" left="0.19685039370078738" right="0.19685039370078738" top="0.19685039370078738"/>
  <pageSetup fitToWidth="0" paperSize="9" cellComments="atEnd" orientation="portrait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7.13"/>
    <col customWidth="1" min="3" max="3" width="14.5"/>
    <col customWidth="1" min="4" max="5" width="5.0"/>
    <col customWidth="1" min="6" max="6" width="52.13"/>
    <col customWidth="1" min="7" max="7" width="2.13"/>
  </cols>
  <sheetData>
    <row r="1" ht="29.25" customHeight="1">
      <c r="A1" s="1"/>
      <c r="B1" s="43" t="s">
        <v>120</v>
      </c>
      <c r="G1" s="44"/>
    </row>
    <row r="2" ht="19.5" customHeight="1">
      <c r="A2" s="1"/>
      <c r="B2" s="1"/>
      <c r="C2" s="45" t="s">
        <v>5</v>
      </c>
      <c r="D2" s="18"/>
      <c r="E2" s="46" t="str">
        <f t="array" ref="E2:E53">Home!G6:G57</f>
        <v/>
      </c>
      <c r="F2" s="47" t="str">
        <f t="array" ref="F2:F53">BYROW(HSTACK(Home!E6:E57, Home!H6:Q57, Home!S6:AB57), LAMBDA(r,
  LET(dados, TOROW(CHOOSECOLS(r, SEQUENCE(1, COLUMNS(r)-1, 2)), 1),
    INDEX(r, 1, 1) &amp; ": " &amp; TEXTJOIN(", ", TRUE, dados))))</f>
        <v>FWC: 0, 1, 2, 3, 4, 5, 6, 7, 8</v>
      </c>
      <c r="G2" s="44"/>
    </row>
    <row r="3" ht="19.5" customHeight="1">
      <c r="A3" s="1"/>
      <c r="B3" s="23" t="s">
        <v>7</v>
      </c>
      <c r="C3" s="24" t="s">
        <v>8</v>
      </c>
      <c r="D3" s="25"/>
      <c r="E3" s="48"/>
      <c r="F3" s="47" t="s">
        <v>121</v>
      </c>
      <c r="G3" s="44"/>
    </row>
    <row r="4" ht="19.5" customHeight="1">
      <c r="A4" s="1"/>
      <c r="B4" s="29"/>
      <c r="C4" s="24" t="s">
        <v>10</v>
      </c>
      <c r="D4" s="25"/>
      <c r="E4" s="48"/>
      <c r="F4" s="47" t="s">
        <v>122</v>
      </c>
      <c r="G4" s="44"/>
    </row>
    <row r="5" ht="19.5" customHeight="1">
      <c r="A5" s="1"/>
      <c r="B5" s="29"/>
      <c r="C5" s="24" t="s">
        <v>12</v>
      </c>
      <c r="D5" s="25"/>
      <c r="E5" s="48"/>
      <c r="F5" s="47" t="s">
        <v>123</v>
      </c>
      <c r="G5" s="44"/>
    </row>
    <row r="6" ht="19.5" customHeight="1">
      <c r="A6" s="1"/>
      <c r="B6" s="30"/>
      <c r="C6" s="24" t="s">
        <v>14</v>
      </c>
      <c r="D6" s="25"/>
      <c r="E6" s="48"/>
      <c r="F6" s="47" t="s">
        <v>124</v>
      </c>
      <c r="G6" s="44"/>
    </row>
    <row r="7" ht="19.5" customHeight="1">
      <c r="A7" s="1"/>
      <c r="B7" s="23" t="s">
        <v>16</v>
      </c>
      <c r="C7" s="24" t="s">
        <v>17</v>
      </c>
      <c r="D7" s="25"/>
      <c r="E7" s="48"/>
      <c r="F7" s="47" t="s">
        <v>125</v>
      </c>
      <c r="G7" s="44"/>
    </row>
    <row r="8" ht="19.5" customHeight="1">
      <c r="A8" s="1"/>
      <c r="B8" s="29"/>
      <c r="C8" s="24" t="s">
        <v>19</v>
      </c>
      <c r="D8" s="25"/>
      <c r="E8" s="48"/>
      <c r="F8" s="47" t="s">
        <v>126</v>
      </c>
      <c r="G8" s="44"/>
    </row>
    <row r="9" ht="19.5" customHeight="1">
      <c r="A9" s="1"/>
      <c r="B9" s="29"/>
      <c r="C9" s="24" t="s">
        <v>21</v>
      </c>
      <c r="D9" s="25"/>
      <c r="E9" s="48"/>
      <c r="F9" s="47" t="s">
        <v>127</v>
      </c>
      <c r="G9" s="44"/>
    </row>
    <row r="10" ht="19.5" customHeight="1">
      <c r="A10" s="1"/>
      <c r="B10" s="30"/>
      <c r="C10" s="24" t="s">
        <v>23</v>
      </c>
      <c r="D10" s="25"/>
      <c r="E10" s="48"/>
      <c r="F10" s="47" t="s">
        <v>128</v>
      </c>
      <c r="G10" s="44"/>
    </row>
    <row r="11" ht="19.5" customHeight="1">
      <c r="A11" s="1"/>
      <c r="B11" s="23" t="s">
        <v>25</v>
      </c>
      <c r="C11" s="24" t="s">
        <v>26</v>
      </c>
      <c r="D11" s="25"/>
      <c r="E11" s="48"/>
      <c r="F11" s="47" t="s">
        <v>129</v>
      </c>
      <c r="G11" s="44"/>
    </row>
    <row r="12" ht="19.5" customHeight="1">
      <c r="A12" s="1"/>
      <c r="B12" s="29"/>
      <c r="C12" s="24" t="s">
        <v>28</v>
      </c>
      <c r="D12" s="25"/>
      <c r="E12" s="48"/>
      <c r="F12" s="47" t="s">
        <v>130</v>
      </c>
      <c r="G12" s="44"/>
    </row>
    <row r="13" ht="19.5" customHeight="1">
      <c r="A13" s="1"/>
      <c r="B13" s="29"/>
      <c r="C13" s="24" t="s">
        <v>30</v>
      </c>
      <c r="D13" s="25"/>
      <c r="E13" s="48"/>
      <c r="F13" s="47" t="s">
        <v>131</v>
      </c>
      <c r="G13" s="44"/>
    </row>
    <row r="14" ht="19.5" customHeight="1">
      <c r="A14" s="1"/>
      <c r="B14" s="30"/>
      <c r="C14" s="24" t="s">
        <v>32</v>
      </c>
      <c r="D14" s="25"/>
      <c r="E14" s="48"/>
      <c r="F14" s="47" t="s">
        <v>132</v>
      </c>
      <c r="G14" s="44"/>
    </row>
    <row r="15" ht="19.5" customHeight="1">
      <c r="A15" s="1"/>
      <c r="B15" s="23" t="s">
        <v>34</v>
      </c>
      <c r="C15" s="24" t="s">
        <v>35</v>
      </c>
      <c r="D15" s="25"/>
      <c r="E15" s="48"/>
      <c r="F15" s="47" t="s">
        <v>133</v>
      </c>
      <c r="G15" s="44"/>
    </row>
    <row r="16" ht="19.5" customHeight="1">
      <c r="A16" s="1"/>
      <c r="B16" s="29"/>
      <c r="C16" s="24" t="s">
        <v>37</v>
      </c>
      <c r="D16" s="25"/>
      <c r="E16" s="48"/>
      <c r="F16" s="47" t="s">
        <v>134</v>
      </c>
      <c r="G16" s="44"/>
    </row>
    <row r="17" ht="19.5" customHeight="1">
      <c r="A17" s="1"/>
      <c r="B17" s="29"/>
      <c r="C17" s="24" t="s">
        <v>39</v>
      </c>
      <c r="D17" s="25"/>
      <c r="E17" s="48"/>
      <c r="F17" s="47" t="s">
        <v>135</v>
      </c>
      <c r="G17" s="44"/>
    </row>
    <row r="18" ht="19.5" customHeight="1">
      <c r="A18" s="1"/>
      <c r="B18" s="30"/>
      <c r="C18" s="24" t="s">
        <v>41</v>
      </c>
      <c r="D18" s="25"/>
      <c r="E18" s="48"/>
      <c r="F18" s="47" t="s">
        <v>136</v>
      </c>
      <c r="G18" s="44"/>
    </row>
    <row r="19" ht="19.5" customHeight="1">
      <c r="A19" s="1"/>
      <c r="B19" s="23" t="s">
        <v>43</v>
      </c>
      <c r="C19" s="24" t="s">
        <v>44</v>
      </c>
      <c r="D19" s="25"/>
      <c r="E19" s="48"/>
      <c r="F19" s="47" t="s">
        <v>137</v>
      </c>
      <c r="G19" s="44"/>
    </row>
    <row r="20" ht="19.5" customHeight="1">
      <c r="A20" s="1"/>
      <c r="B20" s="29"/>
      <c r="C20" s="24" t="s">
        <v>46</v>
      </c>
      <c r="D20" s="25"/>
      <c r="E20" s="48"/>
      <c r="F20" s="47" t="s">
        <v>138</v>
      </c>
      <c r="G20" s="44"/>
    </row>
    <row r="21" ht="19.5" customHeight="1">
      <c r="A21" s="1"/>
      <c r="B21" s="29"/>
      <c r="C21" s="24" t="s">
        <v>48</v>
      </c>
      <c r="D21" s="25"/>
      <c r="E21" s="48"/>
      <c r="F21" s="47" t="s">
        <v>139</v>
      </c>
      <c r="G21" s="44"/>
    </row>
    <row r="22" ht="19.5" customHeight="1">
      <c r="A22" s="1"/>
      <c r="B22" s="30"/>
      <c r="C22" s="24" t="s">
        <v>50</v>
      </c>
      <c r="D22" s="25"/>
      <c r="E22" s="48"/>
      <c r="F22" s="47" t="s">
        <v>140</v>
      </c>
      <c r="G22" s="44"/>
    </row>
    <row r="23" ht="19.5" customHeight="1">
      <c r="A23" s="1"/>
      <c r="B23" s="23" t="s">
        <v>52</v>
      </c>
      <c r="C23" s="24" t="s">
        <v>53</v>
      </c>
      <c r="D23" s="25"/>
      <c r="E23" s="48"/>
      <c r="F23" s="47" t="s">
        <v>141</v>
      </c>
      <c r="G23" s="44"/>
    </row>
    <row r="24" ht="19.5" customHeight="1">
      <c r="A24" s="1"/>
      <c r="B24" s="29"/>
      <c r="C24" s="24" t="s">
        <v>55</v>
      </c>
      <c r="D24" s="25"/>
      <c r="E24" s="48"/>
      <c r="F24" s="47" t="s">
        <v>142</v>
      </c>
      <c r="G24" s="44"/>
    </row>
    <row r="25" ht="19.5" customHeight="1">
      <c r="A25" s="1"/>
      <c r="B25" s="29"/>
      <c r="C25" s="24" t="s">
        <v>57</v>
      </c>
      <c r="D25" s="25"/>
      <c r="E25" s="48"/>
      <c r="F25" s="47" t="s">
        <v>143</v>
      </c>
      <c r="G25" s="44"/>
    </row>
    <row r="26" ht="19.5" customHeight="1">
      <c r="A26" s="1"/>
      <c r="B26" s="30"/>
      <c r="C26" s="24" t="s">
        <v>59</v>
      </c>
      <c r="D26" s="25"/>
      <c r="E26" s="48"/>
      <c r="F26" s="47" t="s">
        <v>144</v>
      </c>
      <c r="G26" s="44"/>
    </row>
    <row r="27" ht="19.5" customHeight="1">
      <c r="A27" s="1"/>
      <c r="B27" s="1"/>
      <c r="C27" s="2"/>
      <c r="D27" s="3"/>
      <c r="E27" s="49"/>
      <c r="F27" s="50" t="s">
        <v>145</v>
      </c>
      <c r="G27" s="1"/>
    </row>
    <row r="28" ht="19.5" customHeight="1">
      <c r="A28" s="1"/>
      <c r="B28" s="23" t="s">
        <v>62</v>
      </c>
      <c r="C28" s="51" t="s">
        <v>63</v>
      </c>
      <c r="D28" s="52"/>
      <c r="E28" s="53"/>
      <c r="F28" s="54" t="s">
        <v>146</v>
      </c>
      <c r="G28" s="44"/>
    </row>
    <row r="29" ht="19.5" customHeight="1">
      <c r="A29" s="1"/>
      <c r="B29" s="29"/>
      <c r="C29" s="17" t="s">
        <v>65</v>
      </c>
      <c r="D29" s="22"/>
      <c r="E29" s="55"/>
      <c r="F29" s="56" t="s">
        <v>147</v>
      </c>
      <c r="G29" s="44"/>
    </row>
    <row r="30" ht="19.5" customHeight="1">
      <c r="A30" s="1"/>
      <c r="B30" s="29"/>
      <c r="C30" s="51" t="s">
        <v>67</v>
      </c>
      <c r="D30" s="52"/>
      <c r="E30" s="53"/>
      <c r="F30" s="54" t="s">
        <v>148</v>
      </c>
      <c r="G30" s="44"/>
    </row>
    <row r="31" ht="19.5" customHeight="1">
      <c r="A31" s="1"/>
      <c r="B31" s="30"/>
      <c r="C31" s="17" t="s">
        <v>69</v>
      </c>
      <c r="D31" s="22"/>
      <c r="E31" s="55"/>
      <c r="F31" s="56" t="s">
        <v>149</v>
      </c>
      <c r="G31" s="44"/>
    </row>
    <row r="32" ht="19.5" customHeight="1">
      <c r="A32" s="1"/>
      <c r="B32" s="23" t="s">
        <v>71</v>
      </c>
      <c r="C32" s="51" t="s">
        <v>72</v>
      </c>
      <c r="D32" s="52"/>
      <c r="E32" s="53"/>
      <c r="F32" s="54" t="s">
        <v>150</v>
      </c>
      <c r="G32" s="44"/>
    </row>
    <row r="33" ht="19.5" customHeight="1">
      <c r="A33" s="1"/>
      <c r="B33" s="29"/>
      <c r="C33" s="17" t="s">
        <v>74</v>
      </c>
      <c r="D33" s="22"/>
      <c r="E33" s="55"/>
      <c r="F33" s="56" t="s">
        <v>151</v>
      </c>
      <c r="G33" s="44"/>
    </row>
    <row r="34" ht="19.5" customHeight="1">
      <c r="A34" s="1"/>
      <c r="B34" s="29"/>
      <c r="C34" s="51" t="s">
        <v>76</v>
      </c>
      <c r="D34" s="52"/>
      <c r="E34" s="53"/>
      <c r="F34" s="54" t="s">
        <v>152</v>
      </c>
      <c r="G34" s="44"/>
    </row>
    <row r="35" ht="19.5" customHeight="1">
      <c r="A35" s="1"/>
      <c r="B35" s="30"/>
      <c r="C35" s="17" t="s">
        <v>78</v>
      </c>
      <c r="D35" s="22"/>
      <c r="E35" s="55"/>
      <c r="F35" s="56" t="s">
        <v>153</v>
      </c>
      <c r="G35" s="44"/>
    </row>
    <row r="36" ht="19.5" customHeight="1">
      <c r="A36" s="1"/>
      <c r="B36" s="23" t="s">
        <v>80</v>
      </c>
      <c r="C36" s="51" t="s">
        <v>81</v>
      </c>
      <c r="D36" s="52"/>
      <c r="E36" s="53"/>
      <c r="F36" s="54" t="s">
        <v>154</v>
      </c>
      <c r="G36" s="44"/>
    </row>
    <row r="37" ht="19.5" customHeight="1">
      <c r="A37" s="1"/>
      <c r="B37" s="29"/>
      <c r="C37" s="17" t="s">
        <v>83</v>
      </c>
      <c r="D37" s="22"/>
      <c r="E37" s="55"/>
      <c r="F37" s="56" t="s">
        <v>155</v>
      </c>
      <c r="G37" s="44"/>
    </row>
    <row r="38" ht="19.5" customHeight="1">
      <c r="A38" s="1"/>
      <c r="B38" s="29"/>
      <c r="C38" s="51" t="s">
        <v>85</v>
      </c>
      <c r="D38" s="52"/>
      <c r="E38" s="53"/>
      <c r="F38" s="54" t="s">
        <v>156</v>
      </c>
      <c r="G38" s="44"/>
    </row>
    <row r="39" ht="19.5" customHeight="1">
      <c r="A39" s="1"/>
      <c r="B39" s="30"/>
      <c r="C39" s="17" t="s">
        <v>87</v>
      </c>
      <c r="D39" s="22"/>
      <c r="E39" s="55"/>
      <c r="F39" s="56" t="s">
        <v>157</v>
      </c>
      <c r="G39" s="44"/>
    </row>
    <row r="40" ht="19.5" customHeight="1">
      <c r="A40" s="1"/>
      <c r="B40" s="23" t="s">
        <v>89</v>
      </c>
      <c r="C40" s="51" t="s">
        <v>90</v>
      </c>
      <c r="D40" s="52"/>
      <c r="E40" s="53"/>
      <c r="F40" s="54" t="s">
        <v>158</v>
      </c>
      <c r="G40" s="44"/>
    </row>
    <row r="41" ht="19.5" customHeight="1">
      <c r="A41" s="1"/>
      <c r="B41" s="29"/>
      <c r="C41" s="17" t="s">
        <v>92</v>
      </c>
      <c r="D41" s="22"/>
      <c r="E41" s="55"/>
      <c r="F41" s="56" t="s">
        <v>159</v>
      </c>
      <c r="G41" s="44"/>
    </row>
    <row r="42" ht="19.5" customHeight="1">
      <c r="A42" s="1"/>
      <c r="B42" s="29"/>
      <c r="C42" s="51" t="s">
        <v>94</v>
      </c>
      <c r="D42" s="52"/>
      <c r="E42" s="53"/>
      <c r="F42" s="54" t="s">
        <v>160</v>
      </c>
      <c r="G42" s="44"/>
    </row>
    <row r="43" ht="19.5" customHeight="1">
      <c r="A43" s="1"/>
      <c r="B43" s="30"/>
      <c r="C43" s="17" t="s">
        <v>96</v>
      </c>
      <c r="D43" s="22"/>
      <c r="E43" s="55"/>
      <c r="F43" s="56" t="s">
        <v>161</v>
      </c>
      <c r="G43" s="44"/>
    </row>
    <row r="44" ht="19.5" customHeight="1">
      <c r="A44" s="1"/>
      <c r="B44" s="23" t="s">
        <v>98</v>
      </c>
      <c r="C44" s="51" t="s">
        <v>99</v>
      </c>
      <c r="D44" s="52"/>
      <c r="E44" s="53"/>
      <c r="F44" s="54" t="s">
        <v>162</v>
      </c>
      <c r="G44" s="44"/>
    </row>
    <row r="45" ht="19.5" customHeight="1">
      <c r="A45" s="1"/>
      <c r="B45" s="29"/>
      <c r="C45" s="17" t="s">
        <v>101</v>
      </c>
      <c r="D45" s="22"/>
      <c r="E45" s="55"/>
      <c r="F45" s="56" t="s">
        <v>163</v>
      </c>
      <c r="G45" s="44"/>
    </row>
    <row r="46" ht="19.5" customHeight="1">
      <c r="A46" s="1"/>
      <c r="B46" s="29"/>
      <c r="C46" s="51" t="s">
        <v>103</v>
      </c>
      <c r="D46" s="52"/>
      <c r="E46" s="53"/>
      <c r="F46" s="54" t="s">
        <v>164</v>
      </c>
      <c r="G46" s="44"/>
    </row>
    <row r="47" ht="19.5" customHeight="1">
      <c r="A47" s="1"/>
      <c r="B47" s="30"/>
      <c r="C47" s="17" t="s">
        <v>105</v>
      </c>
      <c r="D47" s="22"/>
      <c r="E47" s="55"/>
      <c r="F47" s="56" t="s">
        <v>165</v>
      </c>
      <c r="G47" s="44"/>
    </row>
    <row r="48" ht="19.5" customHeight="1">
      <c r="A48" s="1"/>
      <c r="B48" s="23" t="s">
        <v>107</v>
      </c>
      <c r="C48" s="51" t="s">
        <v>108</v>
      </c>
      <c r="D48" s="52"/>
      <c r="E48" s="53"/>
      <c r="F48" s="54" t="s">
        <v>166</v>
      </c>
      <c r="G48" s="44"/>
    </row>
    <row r="49" ht="19.5" customHeight="1">
      <c r="A49" s="1"/>
      <c r="B49" s="29"/>
      <c r="C49" s="17" t="s">
        <v>110</v>
      </c>
      <c r="D49" s="22"/>
      <c r="E49" s="55"/>
      <c r="F49" s="56" t="s">
        <v>167</v>
      </c>
      <c r="G49" s="44"/>
    </row>
    <row r="50" ht="19.5" customHeight="1">
      <c r="A50" s="1"/>
      <c r="B50" s="29"/>
      <c r="C50" s="51" t="s">
        <v>112</v>
      </c>
      <c r="D50" s="52"/>
      <c r="E50" s="53"/>
      <c r="F50" s="54" t="s">
        <v>168</v>
      </c>
      <c r="G50" s="44"/>
    </row>
    <row r="51" ht="19.5" customHeight="1">
      <c r="A51" s="1"/>
      <c r="B51" s="30"/>
      <c r="C51" s="17" t="s">
        <v>114</v>
      </c>
      <c r="D51" s="22"/>
      <c r="E51" s="55"/>
      <c r="F51" s="56" t="s">
        <v>169</v>
      </c>
      <c r="G51" s="44"/>
    </row>
    <row r="52" ht="19.5" customHeight="1">
      <c r="A52" s="1"/>
      <c r="B52" s="34" t="s">
        <v>116</v>
      </c>
      <c r="C52" s="57"/>
      <c r="D52" s="18"/>
      <c r="E52" s="58"/>
      <c r="F52" s="54" t="s">
        <v>170</v>
      </c>
      <c r="G52" s="44"/>
    </row>
    <row r="53" ht="19.5" customHeight="1">
      <c r="A53" s="1"/>
      <c r="B53" s="39" t="s">
        <v>117</v>
      </c>
      <c r="C53" s="59"/>
      <c r="D53" s="40"/>
      <c r="E53" s="60"/>
      <c r="F53" s="56" t="s">
        <v>171</v>
      </c>
      <c r="G53" s="44"/>
    </row>
    <row r="54" ht="10.5" customHeight="1">
      <c r="A54" s="1"/>
      <c r="B54" s="61"/>
      <c r="G54" s="44"/>
    </row>
  </sheetData>
  <mergeCells count="15">
    <mergeCell ref="B28:B31"/>
    <mergeCell ref="B32:B35"/>
    <mergeCell ref="B36:B39"/>
    <mergeCell ref="B40:B43"/>
    <mergeCell ref="B44:B47"/>
    <mergeCell ref="B48:B51"/>
    <mergeCell ref="B52:C52"/>
    <mergeCell ref="B53:C53"/>
    <mergeCell ref="B1:F1"/>
    <mergeCell ref="B3:B6"/>
    <mergeCell ref="B7:B10"/>
    <mergeCell ref="B11:B14"/>
    <mergeCell ref="B15:B18"/>
    <mergeCell ref="B19:B22"/>
    <mergeCell ref="B23:B26"/>
  </mergeCells>
  <printOptions gridLines="1" horizontalCentered="1"/>
  <pageMargins bottom="0.19685039370078738" footer="0.0" header="0.0" left="0.19685039370078738" right="0.19685039370078738" top="0.19685039370078738"/>
  <pageSetup fitToWidth="0" paperSize="9" cellComments="atEnd" orientation="portrait" pageOrder="overThenDown"/>
  <drawing r:id="rId1"/>
  <tableParts count="1">
    <tablePart r:id="rId3"/>
  </tableParts>
</worksheet>
</file>